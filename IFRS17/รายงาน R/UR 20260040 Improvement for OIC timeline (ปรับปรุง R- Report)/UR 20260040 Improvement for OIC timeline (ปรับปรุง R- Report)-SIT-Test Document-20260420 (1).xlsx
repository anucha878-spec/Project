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ision History" sheetId="1" r:id="rId4"/>
    <sheet state="visible" name="Test Summary" sheetId="2" r:id="rId5"/>
    <sheet state="visible" name="Test Plan" sheetId="3" r:id="rId6"/>
    <sheet state="visible" name="Timeline" sheetId="4" r:id="rId7"/>
    <sheet state="visible" name="Test Checklist" sheetId="5" r:id="rId8"/>
    <sheet state="visible" name="Redmine" sheetId="6" r:id="rId9"/>
    <sheet state="visible" name="Test Data" sheetId="7" r:id="rId10"/>
    <sheet state="visible" name="Var" sheetId="8" r:id="rId11"/>
  </sheets>
  <definedNames>
    <definedName hidden="1" localSheetId="4" name="_xlnm._FilterDatabase">'Test Checklist'!$A$3:$Q$18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84">
      <text>
        <t xml:space="preserve"> (Test Status = In Progress, Pending, Failed, Passed, Passed with Condition, 
Cancelled)</t>
      </text>
    </comment>
    <comment authorId="0" ref="E84">
      <text>
        <t xml:space="preserve">(Test Status = Passed, Passed with Condition, Cancelled)</t>
      </text>
    </comment>
    <comment authorId="0" ref="F84">
      <text>
        <t xml:space="preserve"> (Test Status = In Progress, Pending, Failed, Passed, Passed with Condition, 
Cancelled)</t>
      </text>
    </comment>
    <comment authorId="0" ref="G84">
      <text>
        <t xml:space="preserve">(Test Status = Passed, Passed with Condition, Cancelled)</t>
      </text>
    </comment>
    <comment authorId="0" ref="H84">
      <text>
        <t xml:space="preserve"> (Test Status = In Progress, Pending, Failed, Passed, Passed with Condition, 
Cancelled)</t>
      </text>
    </comment>
    <comment authorId="0" ref="I84">
      <text>
        <t xml:space="preserve">(Test Status = Passed, Passed with Condition, Cancelled)</t>
      </text>
    </comment>
    <comment authorId="0" ref="J84">
      <text>
        <t xml:space="preserve"> (Test Status = In Progress, Pending, Failed, Passed, Passed with Condition, 
Cancelled)</t>
      </text>
    </comment>
    <comment authorId="0" ref="K84">
      <text>
        <t xml:space="preserve">(Test Status = Passed, Passed with Condition, Cancelled)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47">
      <text>
        <t xml:space="preserve">Impacted System
ระบบที่ได้รับผลกระทบ มีการปรับแก้ไข (Develop) ในโครงการ
Related System
ระบบที่ไม่ได้รับผลกระทบ ไม่ต้องมีการปรับแก้ไข (Develop)
แต่เป็นระบบที่เกี่ยวข้อง เพื่อการทดสอบ End-to-End ตาม Business Flow</t>
      </text>
    </comment>
  </commentList>
</comments>
</file>

<file path=xl/sharedStrings.xml><?xml version="1.0" encoding="utf-8"?>
<sst xmlns="http://schemas.openxmlformats.org/spreadsheetml/2006/main" count="1590" uniqueCount="707">
  <si>
    <t>Revision History</t>
  </si>
  <si>
    <t>Version No.</t>
  </si>
  <si>
    <t>Description of Change</t>
  </si>
  <si>
    <t>Prepared by</t>
  </si>
  <si>
    <t>Revised Date</t>
  </si>
  <si>
    <t>Initial version</t>
  </si>
  <si>
    <t>อนุชา พิมสร้อย</t>
  </si>
  <si>
    <t>Baseline version</t>
  </si>
  <si>
    <t>Signature</t>
  </si>
  <si>
    <t>Application</t>
  </si>
  <si>
    <t>Project Role</t>
  </si>
  <si>
    <t>Name</t>
  </si>
  <si>
    <t>Division</t>
  </si>
  <si>
    <t>Sign Date</t>
  </si>
  <si>
    <t>Enterprise Data Warehouse</t>
  </si>
  <si>
    <t>PM</t>
  </si>
  <si>
    <t xml:space="preserve">วโรตม์ สุนทรารัตน์พงษ์		</t>
  </si>
  <si>
    <t>ฝ่ายวิจัยและพัฒนาเทคโนโลยีสารสนเทศ</t>
  </si>
  <si>
    <t>Lead SA</t>
  </si>
  <si>
    <t>ณภัค พิชิตกุศลาชัย</t>
  </si>
  <si>
    <t>SA</t>
  </si>
  <si>
    <t>Lead Developer</t>
  </si>
  <si>
    <t>อภิมุข ดำอ่อน</t>
  </si>
  <si>
    <t>Developer</t>
  </si>
  <si>
    <t>Lead Test</t>
  </si>
  <si>
    <t>Tester</t>
  </si>
  <si>
    <t>ชุติมา สมพันธ์แพ</t>
  </si>
  <si>
    <t>Test Summary Report</t>
  </si>
  <si>
    <t>Project Code</t>
  </si>
  <si>
    <t>Project Name</t>
  </si>
  <si>
    <t>Improvement for OIC timeline (ปรับปรุง R- Report)</t>
  </si>
  <si>
    <t>Project Manager</t>
  </si>
  <si>
    <t>วโรตม์ สุนทรารัตน์พงษ์</t>
  </si>
  <si>
    <t>Test Phase</t>
  </si>
  <si>
    <t>SIT</t>
  </si>
  <si>
    <t>Report Date</t>
  </si>
  <si>
    <t>Plan Timeline</t>
  </si>
  <si>
    <t>-</t>
  </si>
  <si>
    <t>Actual Timeline</t>
  </si>
  <si>
    <t>Total Days</t>
  </si>
  <si>
    <t># of Days Spent</t>
  </si>
  <si>
    <t>Remaining Days</t>
  </si>
  <si>
    <t>% Ready for Test</t>
  </si>
  <si>
    <t>% Expected Passed</t>
  </si>
  <si>
    <t>% Actual Passed</t>
  </si>
  <si>
    <t>วัตถุประสงค์ของโครงการ</t>
  </si>
  <si>
    <t>ขอบเขตของโครงการ</t>
  </si>
  <si>
    <t>Major Issue/Concern</t>
  </si>
  <si>
    <t>No.</t>
  </si>
  <si>
    <t>Issue/Concern</t>
  </si>
  <si>
    <t>Recommendation</t>
  </si>
  <si>
    <t>Redmine</t>
  </si>
  <si>
    <t>Status</t>
  </si>
  <si>
    <t>Responsible By</t>
  </si>
  <si>
    <t>Target Completion Date</t>
  </si>
  <si>
    <t>Remark</t>
  </si>
  <si>
    <t>Test Progress</t>
  </si>
  <si>
    <t>(ไม่ต้องส่งตารางนี้)</t>
  </si>
  <si>
    <t>No. of Test Cases</t>
  </si>
  <si>
    <t>Cancelled</t>
  </si>
  <si>
    <t>Passed</t>
  </si>
  <si>
    <t>Passed with Condition</t>
  </si>
  <si>
    <t>Failed</t>
  </si>
  <si>
    <t>Pending</t>
  </si>
  <si>
    <t>In Progress</t>
  </si>
  <si>
    <t>Not Start</t>
  </si>
  <si>
    <t>Not Ready for Test</t>
  </si>
  <si>
    <t>Total 
Test Cases</t>
  </si>
  <si>
    <t>%Test Progress</t>
  </si>
  <si>
    <t>Test Execution Order</t>
  </si>
  <si>
    <t>Feature Priority</t>
  </si>
  <si>
    <t>Test Cases Priority</t>
  </si>
  <si>
    <t>Test Status</t>
  </si>
  <si>
    <t>%Progress</t>
  </si>
  <si>
    <t>%Passed</t>
  </si>
  <si>
    <t>Plan Start Date</t>
  </si>
  <si>
    <t>Plan Finish Date</t>
  </si>
  <si>
    <t>Actual Start Date</t>
  </si>
  <si>
    <t>Actual Finish Date</t>
  </si>
  <si>
    <t>Feature Priority 1</t>
  </si>
  <si>
    <t>Medium</t>
  </si>
  <si>
    <t>Ready for Test</t>
  </si>
  <si>
    <t>Overall</t>
  </si>
  <si>
    <t>High</t>
  </si>
  <si>
    <t>Low</t>
  </si>
  <si>
    <t>Total</t>
  </si>
  <si>
    <t>%</t>
  </si>
  <si>
    <t>Feature</t>
  </si>
  <si>
    <t>% Test Progress</t>
  </si>
  <si>
    <t>% Passed</t>
  </si>
  <si>
    <t>chutima.so</t>
  </si>
  <si>
    <t>%Test Progress (Ready for Test)</t>
  </si>
  <si>
    <t>%Test Progress (Overall)</t>
  </si>
  <si>
    <t>Issue Summary</t>
  </si>
  <si>
    <t>Root Cause Category</t>
  </si>
  <si>
    <t>Root Cause</t>
  </si>
  <si>
    <t>คำอธิบาย</t>
  </si>
  <si>
    <t>Priority</t>
  </si>
  <si>
    <t>New</t>
  </si>
  <si>
    <t>Reopened</t>
  </si>
  <si>
    <t>Resolved</t>
  </si>
  <si>
    <t>Closed</t>
  </si>
  <si>
    <t>Requirement</t>
  </si>
  <si>
    <t>Requirement Change</t>
  </si>
  <si>
    <t>การเปลี่ยนแปลง Requirement จากผู้ใช้งาน</t>
  </si>
  <si>
    <t>Immediate</t>
  </si>
  <si>
    <t>Missing Requirement</t>
  </si>
  <si>
    <t>Requirement ที่ไม่ได้รับแจ้งจากผู้ใช้งาน</t>
  </si>
  <si>
    <t>Urgent</t>
  </si>
  <si>
    <t>Design</t>
  </si>
  <si>
    <t>Incorrect Specification</t>
  </si>
  <si>
    <t>Specification/Design ไม่สอดคล้องกับ Business Requirement</t>
  </si>
  <si>
    <t>Development</t>
  </si>
  <si>
    <t>Application Defect</t>
  </si>
  <si>
    <t>ข้อบกพร่องในโค้ดหรือฟังก์ชันของแอปพลิเคชันที่ไม่ทำงานตามที่คาดหวัง</t>
  </si>
  <si>
    <t>Normal</t>
  </si>
  <si>
    <t>Configuration Defect</t>
  </si>
  <si>
    <t>การตั้งค่าผิดพลาดในระบบหรือแอปพลิเคชันที่ทำให้ทำงานผิดปกติ</t>
  </si>
  <si>
    <t>Missing Standard Practices</t>
  </si>
  <si>
    <t>ข้อผิดพลาดของระบบที่ไม่เป็นไปตามมาตรฐานสากลหรือข้อตกลงภายในทีม (Standard Practices)</t>
  </si>
  <si>
    <t>Performance Issue</t>
  </si>
  <si>
    <t>ปัญหาที่เกิดจากประสิทธิภาพของระบบไม่เป็นไปตามที่คาดหวัง หรือไม่สามารถรองรับโหลดได้</t>
  </si>
  <si>
    <t>UX/UI</t>
  </si>
  <si>
    <t>รูปแบบ UI หรือการจัดวางองค์ประกอบในหน้าจอไม่เป็นระเบียบ</t>
  </si>
  <si>
    <t>Testing</t>
  </si>
  <si>
    <t>Question/Misunderstanding</t>
  </si>
  <si>
    <t>คำถาม หรือความเข้าใจผิด</t>
  </si>
  <si>
    <t>Data Defect</t>
  </si>
  <si>
    <t>ข้อมูลที่ใช้ทดสอบไม่ถูกต้อง</t>
  </si>
  <si>
    <t>Environment Issue</t>
  </si>
  <si>
    <t>ปัญหาที่เกิดจาก Environment ที่ไม่เหมาะสม</t>
  </si>
  <si>
    <t>Production Issue</t>
  </si>
  <si>
    <t>ปัญหาที่เกิดขึ้นในระบบที่ใช้งานจริง (Production Issue)</t>
  </si>
  <si>
    <t>Production Data</t>
  </si>
  <si>
    <t>ข้อมูลที่ Production ไม่ถูกต้อง ต้องดำเนินการ Data Cleansing</t>
  </si>
  <si>
    <t>Under Investigated</t>
  </si>
  <si>
    <t>ปัญหาที่ยังอยู่ระหว่างการวิเคราะห์สาเหตุ</t>
  </si>
  <si>
    <t>Test Plan</t>
  </si>
  <si>
    <t>Reference</t>
  </si>
  <si>
    <t>Project Charter</t>
  </si>
  <si>
    <t>Project Estimation</t>
  </si>
  <si>
    <t>Business Requirement Document (BRD)</t>
  </si>
  <si>
    <t>Business Workflow</t>
  </si>
  <si>
    <t>Business Scenario</t>
  </si>
  <si>
    <t>Business Requirements อื่นๆ เช่น ข้อกำหนดการขาย, ระเบียบ ฯลฯ</t>
  </si>
  <si>
    <t>Requirement Traceability Matrix (RTM)</t>
  </si>
  <si>
    <t>Product Architecture (PA)</t>
  </si>
  <si>
    <t>Software Requirements Specification (SRS)</t>
  </si>
  <si>
    <t>Functional Requirement Document (FSD)</t>
  </si>
  <si>
    <t>Technical Specification Document (TSD)</t>
  </si>
  <si>
    <t>Data Migration Strategy (ถ้ามี)</t>
  </si>
  <si>
    <t>Cost Analysis (CA)</t>
  </si>
  <si>
    <t>Project Plan</t>
  </si>
  <si>
    <t>https://redmine.ochi.link/</t>
  </si>
  <si>
    <t>Assumption</t>
  </si>
  <si>
    <t>In Scopes of Testing</t>
  </si>
  <si>
    <t>Out Scopes of Testing</t>
  </si>
  <si>
    <t>ส่วนอื่นๆ ที่ไม่อยู่ใน In Scopes of Testing</t>
  </si>
  <si>
    <t>Impact/Related System</t>
  </si>
  <si>
    <t>System</t>
  </si>
  <si>
    <t>Impacted/Related System</t>
  </si>
  <si>
    <t>Test Device</t>
  </si>
  <si>
    <t>Device</t>
  </si>
  <si>
    <t>OS/Version</t>
  </si>
  <si>
    <t>Browser/Version</t>
  </si>
  <si>
    <t>Resolution</t>
  </si>
  <si>
    <t>Desktop</t>
  </si>
  <si>
    <t>Windows 10 Service Pack 1</t>
  </si>
  <si>
    <t>Google Chrome</t>
  </si>
  <si>
    <t>Tablet/Mobile</t>
  </si>
  <si>
    <t>iOS (Tablet/Mobile)</t>
  </si>
  <si>
    <t>Android (Tablet/Mobile)</t>
  </si>
  <si>
    <t>การจัดลำดับความสำคัญของการทดสอบ (Test Execution Plan)</t>
  </si>
  <si>
    <t>การกำหนดระดับความสำคัญของ Feature โดยพิจารณาจาก ผลกระทบทางธุรกิจ (Business Impact) และ ความถี่ในการใช้งาน (Frequency)</t>
  </si>
  <si>
    <t>Definition (นิยาม)</t>
  </si>
  <si>
    <t>Business Impact (ผลกระทบทางธุรกิจ)</t>
  </si>
  <si>
    <t>Frequency (ความถี่ในการใช้งาน)</t>
  </si>
  <si>
    <r>
      <rPr>
        <rFont val="Arial"/>
        <b/>
        <color rgb="FF1F1F1F"/>
        <sz val="10.0"/>
      </rPr>
      <t xml:space="preserve">Critical Feature: </t>
    </r>
    <r>
      <rPr>
        <rFont val="Arial"/>
        <color rgb="FF1F1F1F"/>
        <sz val="10.0"/>
      </rPr>
      <t>ฟีเจอร์หลักที่เป็นหัวใจสำคัญของระบบ
หากทำงานผิดพลาดจะส่งผลกระทบโดยตรงต่อธุรกิจทันที</t>
    </r>
  </si>
  <si>
    <r>
      <rPr>
        <rFont val="Arial"/>
        <b/>
        <color rgb="FF1F1F1F"/>
        <sz val="10.0"/>
      </rPr>
      <t>สูง:</t>
    </r>
    <r>
      <rPr>
        <rFont val="Arial"/>
        <color rgb="FF1F1F1F"/>
        <sz val="10.0"/>
      </rPr>
      <t xml:space="preserve"> ทำให้ธุรกิจหยุดชะงัก, สูญเสียรายได้จำนวนมาก หรือมีปัญหาด้านความปลอดภัย/กฎหมายร้ายแรง</t>
    </r>
  </si>
  <si>
    <r>
      <rPr>
        <rFont val="Arial"/>
        <b/>
        <color rgb="FF1F1F1F"/>
        <sz val="10.0"/>
      </rPr>
      <t>สูง:</t>
    </r>
    <r>
      <rPr>
        <rFont val="Arial"/>
        <color rgb="FF1F1F1F"/>
        <sz val="10.0"/>
      </rPr>
      <t xml:space="preserve"> เป็นฟังก์ชันที่ผู้ใช้เกือบทุกคนต้องใช้งานเป็นประจำทุกวัน (Core Daily Workflow)</t>
    </r>
  </si>
  <si>
    <t>Feature Priority 2</t>
  </si>
  <si>
    <r>
      <rPr>
        <rFont val="Arial"/>
        <b/>
        <color rgb="FF1F1F1F"/>
        <sz val="10.0"/>
      </rPr>
      <t>Supporting Feature:</t>
    </r>
    <r>
      <rPr>
        <rFont val="Arial"/>
        <color rgb="FF1F1F1F"/>
        <sz val="10.0"/>
      </rPr>
      <t xml:space="preserve"> ฟีเจอร์สนับสนุนที่สำคัญต่อการทำงานให้ครบถ้วน แต่ไม่ใช่ช่องทางหลักในการทำธุรกรรม</t>
    </r>
  </si>
  <si>
    <r>
      <rPr>
        <rFont val="Arial"/>
        <b/>
        <color rgb="FF1F1F1F"/>
        <sz val="10.0"/>
      </rPr>
      <t>ปานกลาง:</t>
    </r>
    <r>
      <rPr>
        <rFont val="Arial"/>
        <color rgb="FF1F1F1F"/>
        <sz val="10.0"/>
      </rPr>
      <t xml:space="preserve"> มีผลกระทบต่อการทำงานของผู้ใช้บางกลุ่ม แต่ยังมีวิธีทำงานอื่นทดแทนได้ (Workaround)</t>
    </r>
  </si>
  <si>
    <r>
      <rPr>
        <rFont val="Arial"/>
        <b/>
        <color rgb="FF1F1F1F"/>
        <sz val="10.0"/>
      </rPr>
      <t>ปานกลาง:</t>
    </r>
    <r>
      <rPr>
        <rFont val="Arial"/>
        <color rgb="FF1F1F1F"/>
        <sz val="10.0"/>
      </rPr>
      <t xml:space="preserve"> มีการใช้งานเป็นครั้งคราวตามรอบเวลา (เช่น ทุกสัปดาห์ หรือทุกสิ้นเดือน)</t>
    </r>
  </si>
  <si>
    <t>Feature Priority 3</t>
  </si>
  <si>
    <r>
      <rPr>
        <rFont val="Arial"/>
        <b/>
        <color rgb="FF1F1F1F"/>
        <sz val="10.0"/>
      </rPr>
      <t xml:space="preserve">Optional/Minor Feature: </t>
    </r>
    <r>
      <rPr>
        <rFont val="Arial"/>
        <color rgb="FF1F1F1F"/>
        <sz val="10.0"/>
      </rPr>
      <t>ฟีเจอร์ส่วนเสริมหรือเครื่องมืออำนวยความสะดวกเล็กน้อย</t>
    </r>
  </si>
  <si>
    <r>
      <rPr>
        <rFont val="Arial"/>
        <b/>
        <color rgb="FF1F1F1F"/>
        <sz val="10.0"/>
      </rPr>
      <t>น้อย:</t>
    </r>
    <r>
      <rPr>
        <rFont val="Arial"/>
        <color rgb="FF1F1F1F"/>
        <sz val="10.0"/>
      </rPr>
      <t xml:space="preserve"> กระทบเพียงความสะดวกสบายหรือภาพลักษณ์ โดยไม่ส่งผลต่อความถูกต้องของข้อมูลหลัก</t>
    </r>
  </si>
  <si>
    <r>
      <rPr>
        <rFont val="Arial"/>
        <b/>
        <color rgb="FF1F1F1F"/>
        <sz val="10.0"/>
      </rPr>
      <t>ต่ำ:</t>
    </r>
    <r>
      <rPr>
        <rFont val="Arial"/>
        <color rgb="FF1F1F1F"/>
        <sz val="10.0"/>
      </rPr>
      <t xml:space="preserve"> นานๆ ใช้งานครั้งหนึ่ง (Seldom) หรือเป็นฟังก์ชันสำหรับผู้ใช้กลุ่มเฉพาะที่เล็กมาก</t>
    </r>
  </si>
  <si>
    <t>การจัดลำดับความสำคัญของชุดทดสอบ (Test Cases) ต่างๆ ที่ใช้ในการทดสอบระบบหรือซอฟต์แวร์ โดยการจัดลำดับจะพิจารณาจาก ความสำคัญทางธุรกิจ (Business Impact) ความถี่ในการใช้งาน (Usage Frequency) และ ความเสี่ยง (Risk) ที่เกี่ยวข้องกับฟังก์ชันนั้นๆ ซึ่งจะช่วยให้ทีมทดสอบสามารถมุ่งเน้นและดำเนินการทดสอบในส่วนที่สำคัญที่สุดก่อน เพื่อให้มั่นใจว่าฟังก์ชันหลักของระบบทำงานได้อย่างถูกต้อง</t>
  </si>
  <si>
    <t>Definition</t>
  </si>
  <si>
    <t>Test Case Type</t>
  </si>
  <si>
    <r>
      <rPr>
        <rFont val="Arial"/>
        <b/>
        <color rgb="FF1F1F1F"/>
        <sz val="10.0"/>
      </rPr>
      <t xml:space="preserve">"ต้องรอด": </t>
    </r>
    <r>
      <rPr>
        <rFont val="Arial"/>
        <b val="0"/>
        <color rgb="FF1F1F1F"/>
        <sz val="10.0"/>
      </rPr>
      <t>เป็นเคสวิกฤตที่ต้องผ่าน 100% หากพังห้ามปล่อยระบบเด็ดขาด</t>
    </r>
  </si>
  <si>
    <r>
      <rPr>
        <rFont val="Arial"/>
        <b/>
        <color rgb="FF1F1F1F"/>
        <sz val="10.0"/>
      </rPr>
      <t xml:space="preserve">• Functional (Happy Path): </t>
    </r>
    <r>
      <rPr>
        <rFont val="Arial"/>
        <color rgb="FF1F1F1F"/>
        <sz val="10.0"/>
      </rPr>
      <t xml:space="preserve">การทำงานหลักตามขั้นตอนปกติที่ผู้ใช้ต้องทำให้สำเร็จ
</t>
    </r>
    <r>
      <rPr>
        <rFont val="Arial"/>
        <b/>
        <color rgb="FF1F1F1F"/>
        <sz val="10.0"/>
      </rPr>
      <t xml:space="preserve">• Security: </t>
    </r>
    <r>
      <rPr>
        <rFont val="Arial"/>
        <color rgb="FF1F1F1F"/>
        <sz val="10.0"/>
      </rPr>
      <t xml:space="preserve">การตรวจสอบสิทธิ์เข้าใช้งานและความปลอดภัยของข้อมูล
</t>
    </r>
    <r>
      <rPr>
        <rFont val="Arial"/>
        <b/>
        <color rgb="FF1F1F1F"/>
        <sz val="10.0"/>
      </rPr>
      <t xml:space="preserve">• Integration: </t>
    </r>
    <r>
      <rPr>
        <rFont val="Arial"/>
        <color rgb="FF1F1F1F"/>
        <sz val="10.0"/>
      </rPr>
      <t xml:space="preserve">การเชื่อมต่อรับส่งข้อมูลระหว่างระบบหรือ API
</t>
    </r>
    <r>
      <rPr>
        <rFont val="Arial"/>
        <b/>
        <color rgb="FF1F1F1F"/>
        <sz val="10.0"/>
      </rPr>
      <t xml:space="preserve">• Business Logic: </t>
    </r>
    <r>
      <rPr>
        <rFont val="Arial"/>
        <color rgb="FF1F1F1F"/>
        <sz val="10.0"/>
      </rPr>
      <t>การคำนวณและเงื่อนไขตามกฎธุรกิจ (เช่น สูตรภาษี, ส่วนลด)</t>
    </r>
  </si>
  <si>
    <r>
      <rPr>
        <rFont val="Arial"/>
        <b/>
        <color rgb="FF1F1F1F"/>
        <sz val="10.0"/>
      </rPr>
      <t xml:space="preserve">"ต้องแม่น": </t>
    </r>
    <r>
      <rPr>
        <rFont val="Arial"/>
        <b val="0"/>
        <color rgb="FF1F1F1F"/>
        <sz val="10.0"/>
      </rPr>
      <t>เป็นเคสความถูกต้องของข้อมูล ต้องแก้ไขให้เสร็จก่อนขึ้นระบบจริง</t>
    </r>
  </si>
  <si>
    <r>
      <rPr>
        <rFont val="Arial"/>
        <b/>
        <color rgb="FF1F1F1F"/>
        <sz val="10.0"/>
      </rPr>
      <t xml:space="preserve">• Negative Test: </t>
    </r>
    <r>
      <rPr>
        <rFont val="Arial"/>
        <color rgb="FF1F1F1F"/>
        <sz val="10.0"/>
      </rPr>
      <t xml:space="preserve">การจัดการของระบบเมื่อเกิดข้อผิดพลาด (เช่น ใส่ข้อมูลผิดแล้วระบบต้องไม่ค้าง)
</t>
    </r>
    <r>
      <rPr>
        <rFont val="Arial"/>
        <b/>
        <color rgb="FF1F1F1F"/>
        <sz val="10.0"/>
      </rPr>
      <t xml:space="preserve">• Input Validation: </t>
    </r>
    <r>
      <rPr>
        <rFont val="Arial"/>
        <color rgb="FF1F1F1F"/>
        <sz val="10.0"/>
      </rPr>
      <t xml:space="preserve">การตรวจสอบรูปแบบข้อมูลพื้นฐาน (เช่น รูปแบบ Email, เบอร์โทร)
</t>
    </r>
    <r>
      <rPr>
        <rFont val="Arial"/>
        <b/>
        <color rgb="FF1F1F1F"/>
        <sz val="10.0"/>
      </rPr>
      <t xml:space="preserve">• Performance: </t>
    </r>
    <r>
      <rPr>
        <rFont val="Arial"/>
        <color rgb="FF1F1F1F"/>
        <sz val="10.0"/>
      </rPr>
      <t xml:space="preserve">ความเร็วในการโหลดหน้าจอทั่วไป (Response Time) ต้องไม่ช้าเกินไปจนผู้ใช้เลิกใช้
</t>
    </r>
    <r>
      <rPr>
        <rFont val="Arial"/>
        <b/>
        <color rgb="FF1F1F1F"/>
        <sz val="10.0"/>
      </rPr>
      <t xml:space="preserve">• Load: </t>
    </r>
    <r>
      <rPr>
        <rFont val="Arial"/>
        <color rgb="FF1F1F1F"/>
        <sz val="10.0"/>
      </rPr>
      <t>ระบบรองรับคนจำนวนมากเข้าใช้งานพร้อมกัน</t>
    </r>
  </si>
  <si>
    <r>
      <rPr>
        <rFont val="Arial"/>
        <b/>
        <color rgb="FF1F1F1F"/>
        <sz val="10.0"/>
      </rPr>
      <t xml:space="preserve">"ต้องเป๊ะ": </t>
    </r>
    <r>
      <rPr>
        <rFont val="Arial"/>
        <b val="0"/>
        <color rgb="FF1F1F1F"/>
        <sz val="10.0"/>
      </rPr>
      <t>เป็นเคสความสวยงามและความสะดวก สามารถปล่อยระบบได้และตามแก้ภายหลัง</t>
    </r>
  </si>
  <si>
    <r>
      <rPr>
        <rFont val="Arial"/>
        <b/>
        <color rgb="FF1F1F1F"/>
        <sz val="10.0"/>
      </rPr>
      <t xml:space="preserve">• UI/UX: </t>
    </r>
    <r>
      <rPr>
        <rFont val="Arial"/>
        <color rgb="FF1F1F1F"/>
        <sz val="10.0"/>
      </rPr>
      <t xml:space="preserve">ความถูกต้องของการจัดวางหน้าจอ สี ฟอนต์ และความง่ายในการใช้งาน
</t>
    </r>
    <r>
      <rPr>
        <rFont val="Arial"/>
        <b/>
        <color rgb="FF1F1F1F"/>
        <sz val="10.0"/>
      </rPr>
      <t>• Compatibility:</t>
    </r>
    <r>
      <rPr>
        <rFont val="Arial"/>
        <color rgb="FF1F1F1F"/>
        <sz val="10.0"/>
      </rPr>
      <t xml:space="preserve"> การแสดงผลตามอุปกรณ์</t>
    </r>
  </si>
  <si>
    <t>Test Execution Plan</t>
  </si>
  <si>
    <t>แผนการดำเนินการทดสอบที่ระบุลำดับขั้นตอนในการรันชุดทดสอบ (Test Cases) อย่างเป็นระบบ โดยมีการกำหนดลำดับความสำคัญ (Prioritization) เพื่อให้ทีมทดสอบมุ่งเน้นไปยังส่วนที่สำคัญที่สุดก่อน เพื่อให้มั่นใจว่าฟังก์ชันหลักของระบบทำงานได้อย่างถูกต้องตามความต้องการของธุรกิจ</t>
  </si>
  <si>
    <t>Objective</t>
  </si>
  <si>
    <r>
      <rPr>
        <rFont val="Arial"/>
        <b/>
        <color rgb="FF1F1F1F"/>
        <sz val="10.0"/>
      </rPr>
      <t xml:space="preserve">"หัวใจของระบบต้องรอด": </t>
    </r>
    <r>
      <rPr>
        <rFont val="Arial"/>
        <color rgb="FF1F1F1F"/>
        <sz val="10.0"/>
      </rPr>
      <t>ยืนยันว่าฟังก์ชันหลัก (Happy Path), ความปลอดภัย (Security), การเชื่อมต่อ (Integration) และสูตรคำนวณทางธุรกิจ (Business Logic) ของฟีเจอร์สำคัญที่สุดทำงานถูกต้อง 100%</t>
    </r>
  </si>
  <si>
    <r>
      <rPr>
        <rFont val="Arial"/>
        <b/>
        <color rgb="FF1F1F1F"/>
        <sz val="10.0"/>
      </rPr>
      <t xml:space="preserve">"ฟีเจอร์หลักต้องแม่นยำและเสถียร": </t>
    </r>
    <r>
      <rPr>
        <rFont val="Arial"/>
        <color rgb="FF1F1F1F"/>
        <sz val="10.0"/>
      </rPr>
      <t>ตรวจสอบการจัดการเมื่อเกิดข้อผิดพลาด (Negative Test), รูปแบบข้อมูล (Input Validation), ความเร็ว (Performance) และการรองรับผู้ใช้ (Load) ของฟีเจอร์หลัก</t>
    </r>
  </si>
  <si>
    <r>
      <rPr>
        <rFont val="Arial"/>
        <b/>
        <color rgb="FF1F1F1F"/>
        <sz val="10.0"/>
      </rPr>
      <t xml:space="preserve">"ระบบเสริมพื้นฐานต้องผ่าน": </t>
    </r>
    <r>
      <rPr>
        <rFont val="Arial"/>
        <color rgb="FF1F1F1F"/>
        <sz val="10.0"/>
      </rPr>
      <t>ตรวจสอบการทำงานหลักตามขั้นตอนปกติ (Happy Path) และความปลอดภัยของฟีเจอร์สนับสนุนที่สำคัญ เพื่อให้มั่นใจว่าทำงานร่วมกับระบบหลักได้</t>
    </r>
  </si>
  <si>
    <r>
      <rPr>
        <rFont val="Arial"/>
        <b/>
        <color rgb="FF1F1F1F"/>
        <sz val="10.0"/>
      </rPr>
      <t xml:space="preserve">"ระบบเสริมต้องเสถียร": </t>
    </r>
    <r>
      <rPr>
        <rFont val="Arial"/>
        <color rgb="FF1F1F1F"/>
        <sz val="10.0"/>
      </rPr>
      <t>ทดสอบการดักจับข้อผิดพลาด (Negative) และความถูกต้องของข้อมูล (Input Validation) ในฟีเจอร์สนับสนุน เพื่อลดความเสี่ยงของข้อมูลผิดเพี้ยน</t>
    </r>
  </si>
  <si>
    <r>
      <rPr>
        <rFont val="Arial"/>
        <b/>
        <color rgb="FF1F1F1F"/>
        <sz val="10.0"/>
      </rPr>
      <t xml:space="preserve">"ความสวยงามของระบบหลัก": </t>
    </r>
    <r>
      <rPr>
        <rFont val="Arial"/>
        <color rgb="FF1F1F1F"/>
        <sz val="10.0"/>
      </rPr>
      <t>ตรวจสอบ UI/UX และการแสดงผลตามอุปกรณ์ (Compatibility) ของฟีเจอร์ที่คนใช้งานบ่อย เพื่อสร้างประสบการณ์ที่ดีแก่ผู้ใช้</t>
    </r>
  </si>
  <si>
    <r>
      <rPr>
        <rFont val="Arial"/>
        <b/>
        <color rgb="FF1F1F1F"/>
        <sz val="10.0"/>
      </rPr>
      <t>"ความสมบูรณ์ของระบบเสริม":</t>
    </r>
    <r>
      <rPr>
        <rFont val="Arial"/>
        <color rgb="FF1F1F1F"/>
        <sz val="10.0"/>
      </rPr>
      <t xml:space="preserve"> ตรวจสอบความถูกต้องของการจัดวางหน้าจอและภาษา (Localization) ของฟีเจอร์สนับสนุน</t>
    </r>
  </si>
  <si>
    <r>
      <rPr>
        <rFont val="Arial"/>
        <b/>
        <color rgb="FF1F1F1F"/>
        <sz val="10.0"/>
      </rPr>
      <t xml:space="preserve">"ฟังก์ชันเสริมทำงานถูกต้อง": </t>
    </r>
    <r>
      <rPr>
        <rFont val="Arial"/>
        <color rgb="FF1F1F1F"/>
        <sz val="10.0"/>
      </rPr>
      <t>ตรวจสอบการทำงานเบื้องต้นของฟีเจอร์ส่วนเสริมที่มีคนใช้งานน้อย</t>
    </r>
  </si>
  <si>
    <r>
      <rPr>
        <rFont val="Arial"/>
        <b/>
        <color rgb="FF1F1F1F"/>
        <sz val="10.0"/>
      </rPr>
      <t xml:space="preserve">"ความเสถียรของฟังก์ชันเสริม": </t>
    </r>
    <r>
      <rPr>
        <rFont val="Arial"/>
        <color rgb="FF1F1F1F"/>
        <sz val="10.0"/>
      </rPr>
      <t>เก็บเคส Negative และ Validation ของฟีเจอร์ส่วนเสริมตามเวลาที่เหลือ</t>
    </r>
  </si>
  <si>
    <r>
      <rPr>
        <rFont val="Arial"/>
        <b/>
        <color rgb="FF1F1F1F"/>
        <sz val="10.0"/>
      </rPr>
      <t xml:space="preserve">"เก็บรายละเอียดส่วนสุดท้าย": </t>
    </r>
    <r>
      <rPr>
        <rFont val="Arial"/>
        <color rgb="FF1F1F1F"/>
        <sz val="10.0"/>
      </rPr>
      <t>ตรวจสอบ UI/UX ของฟีเจอร์ส่วนเสริมเพื่อความเป๊ะของระบบในภาพรวม</t>
    </r>
  </si>
  <si>
    <t>Types of Testing</t>
  </si>
  <si>
    <t>Test Scope</t>
  </si>
  <si>
    <t>In Scopes of Testing? (Yes/No)</t>
  </si>
  <si>
    <t>Unit Test</t>
  </si>
  <si>
    <t>Unit Test (UT)</t>
  </si>
  <si>
    <t xml:space="preserve">- Testing of individual components.
- Testing of combined components as a stand alone module.
</t>
  </si>
  <si>
    <t>Yes</t>
  </si>
  <si>
    <t>Integration Test (IT)</t>
  </si>
  <si>
    <t>- Involves building an application from its components and testing for problems that arise from component interactions.
- Testing groups of components integrated to create sub-system or a system.
- Testing of across modules end-to-end functions (without external interfaces).</t>
  </si>
  <si>
    <t>Developer,
System Analyst</t>
  </si>
  <si>
    <t>System Integration Test (SIT)</t>
  </si>
  <si>
    <t>Function Test (FT)</t>
  </si>
  <si>
    <t>- Testing to ensure that software conforms with all the required functionality worked as expected requirements.</t>
  </si>
  <si>
    <t>- Whole product in integrated environment.
- External Interfaces are connected and data can be processed.
- Systems security testing.</t>
  </si>
  <si>
    <t>User Acceptance Test (UAT)</t>
  </si>
  <si>
    <t>- User security, roles &amp; access rights.
- Use case &amp; product based testing.
- End-to-end business testing.
- All I/O reports (online &amp; batch).</t>
  </si>
  <si>
    <t>User</t>
  </si>
  <si>
    <t>Non Functional Test</t>
  </si>
  <si>
    <t>Secure Design &amp; Secure Coding</t>
  </si>
  <si>
    <t>- Security and ethical hacking.</t>
  </si>
  <si>
    <t>Performance Test</t>
  </si>
  <si>
    <t>- User experience testing to validate SLA (batch and online based on expected usages).</t>
  </si>
  <si>
    <t>Load Test</t>
  </si>
  <si>
    <t>- User experience testing to validate load of the system as expected usage.</t>
  </si>
  <si>
    <t>Testing Technique</t>
  </si>
  <si>
    <t>Boundary Value Anaylis (BVA)</t>
  </si>
  <si>
    <t>Equivalent Class Partition (ECP)</t>
  </si>
  <si>
    <t>State Transition (ST)</t>
  </si>
  <si>
    <t>Use Cases</t>
  </si>
  <si>
    <t>Test Tool</t>
  </si>
  <si>
    <t>Description</t>
  </si>
  <si>
    <t>Jira</t>
  </si>
  <si>
    <t>Defect management system tool</t>
  </si>
  <si>
    <t>Libre Office/Microsoft Office/Google Sheet</t>
  </si>
  <si>
    <t>Report tool</t>
  </si>
  <si>
    <t>Web browser</t>
  </si>
  <si>
    <t>PicPick, Shutter</t>
  </si>
  <si>
    <t>Screen capture tool</t>
  </si>
  <si>
    <t>DBeaver</t>
  </si>
  <si>
    <t>Open-source Java SQL client program for any JDBC compliant database</t>
  </si>
  <si>
    <t>Oracle SQL Developer Tool</t>
  </si>
  <si>
    <t>SQL developer tool</t>
  </si>
  <si>
    <t>PG Admin</t>
  </si>
  <si>
    <t>Open-source administration and development platform for PostgreSQL</t>
  </si>
  <si>
    <t>Notepad ++, Scite Text Editor</t>
  </si>
  <si>
    <t>Text editor tool</t>
  </si>
  <si>
    <t>Winmerge</t>
  </si>
  <si>
    <t>Differencing and merging tool presenting differences in visual text format (optional)</t>
  </si>
  <si>
    <t>Barcode to PC Server</t>
  </si>
  <si>
    <t>Scan barcode/qr code</t>
  </si>
  <si>
    <t>Wizdler</t>
  </si>
  <si>
    <t>Parser WSDL files and generates SOAP message response (optional)</t>
  </si>
  <si>
    <t>Pentaho Data Integration Tool</t>
  </si>
  <si>
    <t>ETL tool</t>
  </si>
  <si>
    <t>Power BI</t>
  </si>
  <si>
    <t>XCode</t>
  </si>
  <si>
    <t>Emulator iOS</t>
  </si>
  <si>
    <t>Android Studio</t>
  </si>
  <si>
    <t>Emulator Android</t>
  </si>
  <si>
    <t>Ldplayer</t>
  </si>
  <si>
    <t>Bluestacks</t>
  </si>
  <si>
    <t>www.responsinator.com</t>
  </si>
  <si>
    <t>Simulate responsive web site</t>
  </si>
  <si>
    <t>Draw.io</t>
  </si>
  <si>
    <t>Flowchart maker</t>
  </si>
  <si>
    <t>JMeter</t>
  </si>
  <si>
    <t>Open source software for load and performance testing</t>
  </si>
  <si>
    <t>Software test and monitoring tools to improve the quality and performance of information systems</t>
  </si>
  <si>
    <t>OWASP ZAP</t>
  </si>
  <si>
    <t>Secure Design &amp; Secure Coding for web application</t>
  </si>
  <si>
    <t>Security scanner used to discover hosts and services on a computer network</t>
  </si>
  <si>
    <t>Acunetix</t>
  </si>
  <si>
    <t>Nessus Tenable</t>
  </si>
  <si>
    <t>VA Scanning Tool</t>
  </si>
  <si>
    <t>MobSF</t>
  </si>
  <si>
    <t>Secure Design &amp; Secure Coding for mobile application</t>
  </si>
  <si>
    <t>Chrome extension that functions as a proxy to capture HTTP or HTTPS requests</t>
  </si>
  <si>
    <t>https://securityheaders.io</t>
  </si>
  <si>
    <r>
      <rPr>
        <rFont val="Arial"/>
        <color rgb="FF333333"/>
        <sz val="10.0"/>
      </rPr>
      <t>Web security scanner (เลือกแบบ</t>
    </r>
    <r>
      <rPr>
        <rFont val="Arial"/>
        <color rgb="FFFF0000"/>
        <sz val="10.0"/>
        <u/>
      </rPr>
      <t>ไม่ Public</t>
    </r>
    <r>
      <rPr>
        <rFont val="Arial"/>
        <color rgb="FF333333"/>
        <sz val="10.0"/>
      </rPr>
      <t xml:space="preserve"> ไปยัง Website ภายนอก)</t>
    </r>
  </si>
  <si>
    <t>Integrated platform for performing security testing of web applications</t>
  </si>
  <si>
    <t>Network protocal analyze tool</t>
  </si>
  <si>
    <t>Intruder Attack</t>
  </si>
  <si>
    <t>Technology Profile</t>
  </si>
  <si>
    <t>Cypress</t>
  </si>
  <si>
    <t>Javascript end-to-end test tool</t>
  </si>
  <si>
    <t>Test automation framework</t>
  </si>
  <si>
    <t>XPath Helper</t>
  </si>
  <si>
    <t>XPath finder with chrome extension</t>
  </si>
  <si>
    <t>GitBlit</t>
  </si>
  <si>
    <t>Software version control</t>
  </si>
  <si>
    <t>Visual Studio Code</t>
  </si>
  <si>
    <t>Code editor</t>
  </si>
  <si>
    <t>Entry &amp; Exit Criteria</t>
  </si>
  <si>
    <t>Entry Criteria</t>
  </si>
  <si>
    <t>Project plan, and resource allocation must be in placed, and agreed by stakeholders.</t>
  </si>
  <si>
    <t>Requirement document has been sign-off/acknowledge by users.
- Business Requirement Document (BRD)
- System Requirement Specification (SRS)
- Change Request (if any)</t>
  </si>
  <si>
    <t>In-scope functionality completely delivered based on requirements.</t>
  </si>
  <si>
    <t>All developed code must be completely unit tested with completed Unit Test Report by development team.</t>
  </si>
  <si>
    <t>No outstanding blocker, critical, and major priority/severity defects.
Less than 5 minor, and 5 trivial priority/severity defects.</t>
  </si>
  <si>
    <t>All client/server test hardware, tools, interface systems, test environments must be in placed.</t>
  </si>
  <si>
    <t>Environment configuration data has been defined and set up.</t>
  </si>
  <si>
    <t>SIT test preparation complete.</t>
  </si>
  <si>
    <t>Agreement with stakeholders on the following area:</t>
  </si>
  <si>
    <t>Exit Criteria</t>
  </si>
  <si>
    <t>All planned test scope have been completed tested.</t>
  </si>
  <si>
    <t>In cases of outstanding defects remain, known issues must be acknowledged and approved by project team. (PM, QA Lead, User)</t>
  </si>
  <si>
    <t>SIT test document has been sign-off by PM.</t>
  </si>
  <si>
    <t>In-scope of UAT testing has been agreed with users.</t>
  </si>
  <si>
    <t>UAT test preparation complete.</t>
  </si>
  <si>
    <t>UAT test document has been sign-off by PM.</t>
  </si>
  <si>
    <t>Test Deliverable</t>
  </si>
  <si>
    <t>Test plan</t>
  </si>
  <si>
    <t>Describe test plan, type of testing, test activities, etc.</t>
  </si>
  <si>
    <t>Test cases and test results</t>
  </si>
  <si>
    <t>Describe test objective, test condition determine whether system works as expected.</t>
  </si>
  <si>
    <t>Defect/incident log</t>
  </si>
  <si>
    <t>Results of unexpected results.</t>
  </si>
  <si>
    <t>Test report</t>
  </si>
  <si>
    <t>Summarize results of testing.</t>
  </si>
  <si>
    <t>หมายเหตุ</t>
  </si>
  <si>
    <t>Email แจ้งส่ง SIT Test Summary Report</t>
  </si>
  <si>
    <t>To:</t>
  </si>
  <si>
    <t>PM,</t>
  </si>
  <si>
    <t>cc:</t>
  </si>
  <si>
    <t>Project Team, tester@ocean.co.th, chalermpong.ch@ocean.co.th, it-pmo@ocean.co.th, UAT User, supapitt.si@ocean.co.th (กรณี UR)</t>
  </si>
  <si>
    <t>Email Group (User)</t>
  </si>
  <si>
    <t>ส่วน System Improvement (SI)</t>
  </si>
  <si>
    <t>System_Improvement@ocean.co.th</t>
  </si>
  <si>
    <t>ส่ำนักตรวจสอบ</t>
  </si>
  <si>
    <t>itaudit@ocean.co.th</t>
  </si>
  <si>
    <t>Test Checklist</t>
  </si>
  <si>
    <t>Test Checklist ID</t>
  </si>
  <si>
    <r>
      <rPr>
        <rFont val="Arial"/>
        <b/>
        <sz val="10.0"/>
      </rPr>
      <t xml:space="preserve">Feature </t>
    </r>
    <r>
      <rPr>
        <rFont val="Arial"/>
        <b/>
        <color rgb="FFFF0000"/>
        <sz val="10.0"/>
      </rPr>
      <t>*</t>
    </r>
  </si>
  <si>
    <r>
      <rPr>
        <rFont val="Arial"/>
        <b/>
        <color rgb="FF000000"/>
        <sz val="10.0"/>
      </rPr>
      <t xml:space="preserve">Test Case Type </t>
    </r>
    <r>
      <rPr>
        <rFont val="Arial"/>
        <b/>
        <color rgb="FFFF0000"/>
        <sz val="10.0"/>
      </rPr>
      <t>*</t>
    </r>
  </si>
  <si>
    <t>Test Objective</t>
  </si>
  <si>
    <t>Test Condition</t>
  </si>
  <si>
    <t>Test Step</t>
  </si>
  <si>
    <t>Expected Results</t>
  </si>
  <si>
    <t>Test Data</t>
  </si>
  <si>
    <t>Test Case Priority</t>
  </si>
  <si>
    <r>
      <rPr>
        <rFont val="Arial"/>
        <b/>
        <color rgb="FF000000"/>
        <sz val="10.0"/>
      </rPr>
      <t xml:space="preserve">Test Status </t>
    </r>
    <r>
      <rPr>
        <rFont val="Arial"/>
        <b/>
        <color rgb="FFFF0000"/>
        <sz val="10.0"/>
      </rPr>
      <t>*</t>
    </r>
  </si>
  <si>
    <t>Tested By</t>
  </si>
  <si>
    <t>Tested Date</t>
  </si>
  <si>
    <t>Redmine No.</t>
  </si>
  <si>
    <t>รายการ R05 - Unit Link Products [ULP] Premium Receipt VFA</t>
  </si>
  <si>
    <t>Process การประมวลผลข้อมูลออกรายงาน R05</t>
  </si>
  <si>
    <t>รายงาน  R05ACC  (ฝ่ายบัญชี)</t>
  </si>
  <si>
    <t>TC-R05-01</t>
  </si>
  <si>
    <t>Functional (Happy Path)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</si>
  <si>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>เพิ่มการดึง GL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R05ACC
</t>
    </r>
    <r>
      <rPr>
        <rFont val="Arial"/>
        <sz val="10.0"/>
      </rPr>
      <t>- 14011000 : เบี้ยประกันชีวิตค้างรับ 
- 14012000 : เบี้ยประกันอุบัติเหตุค้างรับ        
- 14013000 : เบี้ยประกันสุขภาพค้างรับ        
- 21540005 : เบี้ยประกันชีวิตรับล่วงหน้า
- 21540010 : เบี้ยประกันอุบัติเหตุรับล่วงหน้า
- 21540015 : เบี้ยประกันสุขภาพรับล่วงหน้า
- 21540006 : ส่วนลดเบี้ยประกันชีวิตล่วงหน้า</t>
    </r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</si>
  <si>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</si>
  <si>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แสดงข้อมูล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และดึงข้อมูล GL Code มาแสดงครบถ้วนถูกต้อง
- 14011000 : เบี้ยประกันชีวิตค้างรับ
- 14012000 : เบี้ยประกันอุบัติเหตุค้างรับ
- 14013000 : เบี้ยประกันสุขภาพค้างรับ
- 21540005 : เบี้ยประกันชีวิตรับล่วงหน้า
- 21540010 : เบี้ยประกันอุบัติเหตุรับล่วงหน้า
- 21540015 : เบี้ยประกันสุขภาพรับล่วงหน้า
- 21540006 : ส่วนลดเบี้ยประกันชีวิตล่วงหน้า
</t>
    </r>
  </si>
  <si>
    <r>
      <rPr>
        <rFont val="Arial"/>
        <color rgb="FF000000"/>
        <sz val="10.0"/>
        <u/>
      </rPr>
      <t>ผลทดสอบ SIT</t>
    </r>
    <r>
      <rPr>
        <rFont val="Arial"/>
        <color rgb="FF000000"/>
        <sz val="10.0"/>
      </rPr>
      <t xml:space="preserve">
Result : UR 20260040 Improvement for OIC timeline (ปรับปรุง R- Report)
</t>
    </r>
    <r>
      <rPr>
        <rFont val="Arial"/>
        <color rgb="FF000000"/>
        <sz val="10.0"/>
        <u/>
      </rPr>
      <t>Note SA น้องจูน</t>
    </r>
    <r>
      <rPr>
        <rFont val="Arial"/>
        <color rgb="FF000000"/>
        <sz val="10.0"/>
      </rPr>
      <t xml:space="preserve">
</t>
    </r>
    <r>
      <rPr>
        <rFont val="Arial"/>
        <b/>
        <color rgb="FF000000"/>
        <sz val="10.0"/>
      </rPr>
      <t>ทดสอบได้แค่ GL Code : 14011000</t>
    </r>
    <r>
      <rPr>
        <rFont val="Arial"/>
        <color rgb="FF000000"/>
        <sz val="10.0"/>
      </rPr>
      <t xml:space="preserve">
เพราะ GL Code : 14012000, 14013000, 21540005, 21540010, 21540015, 21540006 ยังไม่มี set ในผังค่ะ</t>
    </r>
  </si>
  <si>
    <t>TC-R05-02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</si>
  <si>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 xml:space="preserve">การแสดงข้อมูล GL Code หมวด 4 ที่ผูกกับ EventCode : ML-0009 และ ML-0010 และ GL 14011000  </t>
    </r>
    <r>
      <rPr>
        <rFont val="Arial"/>
        <sz val="10.0"/>
      </rPr>
      <t xml:space="preserve">ของรายงาน </t>
    </r>
    <r>
      <rPr>
        <rFont val="Arial"/>
        <color rgb="FFC27BA0"/>
        <sz val="10.0"/>
      </rPr>
      <t xml:space="preserve">R05ACC
</t>
    </r>
    <r>
      <rPr>
        <rFont val="Arial"/>
        <sz val="10.0"/>
      </rPr>
      <t xml:space="preserve">
</t>
    </r>
    <r>
      <rPr>
        <rFont val="Arial"/>
        <color rgb="FF8E7CC3"/>
        <sz val="10.0"/>
      </rPr>
      <t>EventCode ML-0009
- 14011000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</t>
    </r>
    <r>
      <rPr>
        <rFont val="Arial"/>
        <sz val="10.0"/>
      </rPr>
      <t xml:space="preserve">
</t>
    </r>
    <r>
      <rPr>
        <rFont val="Arial"/>
        <color rgb="FFE69138"/>
        <sz val="10.0"/>
      </rPr>
      <t xml:space="preserve">EventCode ML-0010
- 14011000 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
- 40512100 : เบี้ยประกันอุบัติเหตุ - ปีแรก (Phase 2) (รายการนี้ยังไม่มีใน UL)
- 40512200 : เบี้ยประกันอุบัติเหตุ - ปีต่อไป (Phase 2) (รายการนี้ยังไม่มีใน UL)
- 40513100 : เบี้ยประกันสุขภาพ - ปีแรก (Phase 2) (รายการนี้ยังไม่มีใน UL)
- 40513200 : เบี้ยประกันสุขภาพ - ปีต่อไป (Phase 2) (รายการนี้ยังไม่มีใน UL)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</si>
  <si>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6AA84F"/>
        <sz val="10.0"/>
      </rPr>
      <t>แสดงข้อมูล</t>
    </r>
    <r>
      <rPr>
        <rFont val="Arial"/>
        <sz val="10.0"/>
      </rPr>
      <t xml:space="preserve">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ของ ข้อมูล GL Code หมวด 4 ที่ผูกกับ EventCode : ML-0009 และ ML-0010 และ GL 14011000 ถูกต้องครบถ้วน
</t>
    </r>
    <r>
      <rPr>
        <rFont val="Arial"/>
        <color rgb="FF8E7CC3"/>
        <sz val="10.0"/>
      </rPr>
      <t>EventCode ML-0009
- 14011000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</t>
    </r>
    <r>
      <rPr>
        <rFont val="Arial"/>
        <color rgb="FF674EA7"/>
        <sz val="10.0"/>
      </rPr>
      <t xml:space="preserve">
</t>
    </r>
    <r>
      <rPr>
        <rFont val="Arial"/>
        <sz val="10.0"/>
      </rPr>
      <t xml:space="preserve">
</t>
    </r>
    <r>
      <rPr>
        <rFont val="Arial"/>
        <color rgb="FFE69138"/>
        <sz val="10.0"/>
      </rPr>
      <t>EventCode ML-0010
- 14011000 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
- 40512100 : เบี้ยประกันอุบัติเหตุ - ปีแรก (Phase 2) (รายการนี้ยังไม่มีใน UL)
- 40512200 : เบี้ยประกันอุบัติเหตุ - ปีต่อไป (Phase 2) (รายการนี้ยังไม่มีใน UL)
- 40513100 : เบี้ยประกันสุขภาพ - ปีแรก (Phase 2) (รายการนี้ยังไม่มีใน UL)
- 40513200 : เบี้ยประกันสุขภาพ - ปีต่อไป (Phase 2) (รายการนี้ยังไม่มีใน UL)</t>
    </r>
  </si>
  <si>
    <t>TC-R05-03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</si>
  <si>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Receive Payment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R05ACC 
</t>
    </r>
  </si>
  <si>
    <t xml:space="preserve">Sheet :Reconcile Actual DATA 
</t>
  </si>
  <si>
    <t xml:space="preserve">Path วางไฟล์รายงาน R
 \\10.40.24.246\edw\UAT\IFRS17\Report R
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</si>
  <si>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 xml:space="preserve">Column Receive Payment Type
</t>
    </r>
    <r>
      <rPr>
        <rFont val="Arial"/>
        <sz val="10.0"/>
      </rPr>
      <t xml:space="preserve">-  มีการ Grouping Column เพิ่ม field Receive Payment Type
</t>
    </r>
  </si>
  <si>
    <t>TC-R05-04</t>
  </si>
  <si>
    <t xml:space="preserve">Sheet : Adjustment Posting
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</si>
  <si>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Column Receive Payment Type</t>
    </r>
    <r>
      <rPr>
        <rFont val="Arial"/>
        <sz val="10.0"/>
      </rPr>
      <t xml:space="preserve">
-  มีการ Grouping Column เพิ่ม field Receive Payment Type
</t>
    </r>
  </si>
  <si>
    <t>TC-R05-05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</si>
  <si>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R05ACC 
</t>
    </r>
    <r>
      <rPr>
        <rFont val="Arial"/>
        <sz val="10.0"/>
      </rPr>
      <t xml:space="preserve">กรณี GL Code เท่ากับ 14011000 , 14012000 , 14013000, 21540005, 21540010, 21540015 , 21540006 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</si>
  <si>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</t>
    </r>
    <r>
      <rPr>
        <rFont val="Arial"/>
        <sz val="10.0"/>
      </rPr>
      <t xml:space="preserve">
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แสดงเป็นค่าว่าง</t>
    </r>
  </si>
  <si>
    <t>TC-R05-06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</si>
  <si>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แสดงเป็นค่าว่าง
</t>
    </r>
  </si>
  <si>
    <t>TC-R05-07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</si>
  <si>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R05ACC 
</t>
    </r>
    <r>
      <rPr>
        <rFont val="Arial"/>
        <sz val="10.0"/>
      </rPr>
      <t xml:space="preserve">กรณี GL Code เท่ากับ 14011000 , 14012000 , 14013000, 21540005, 21540010, 21540015 , 21540006 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</si>
  <si>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แสดงเป็นค่าว่าง
</t>
    </r>
  </si>
  <si>
    <t>TC-R05-08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</si>
  <si>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แสดงเป็นค่าว่าง
</t>
    </r>
  </si>
  <si>
    <t>TC-R05-09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</si>
  <si>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R05ACC 
</t>
    </r>
    <r>
      <rPr>
        <rFont val="Arial"/>
        <sz val="10.0"/>
      </rPr>
      <t xml:space="preserve">กรณี GL Code </t>
    </r>
    <r>
      <rPr>
        <rFont val="Arial"/>
        <color rgb="FFFF9900"/>
        <sz val="10.0"/>
      </rPr>
      <t>ไม่</t>
    </r>
    <r>
      <rPr>
        <rFont val="Arial"/>
        <sz val="10.0"/>
      </rPr>
      <t xml:space="preserve">เท่ากับ 14011000 , 14012000 , 14013000, 21540005, 21540010, 21540015 , 21540006 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</si>
  <si>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</t>
    </r>
    <r>
      <rPr>
        <rFont val="Arial"/>
        <sz val="10.0"/>
      </rPr>
      <t xml:space="preserve">
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สามารถ Mapping ค่ามาแสดงได้ไม่เป็นค่าว่าง</t>
    </r>
  </si>
  <si>
    <t>TC-R05-10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</si>
  <si>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สามารถ Mapping ค่ามาแสดงได้ไม่เป็นค่าว่าง
</t>
    </r>
  </si>
  <si>
    <t>TC-R05-11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</si>
  <si>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R05ACC 
</t>
    </r>
    <r>
      <rPr>
        <rFont val="Arial"/>
        <sz val="10.0"/>
      </rPr>
      <t xml:space="preserve">กรณี GL Code </t>
    </r>
    <r>
      <rPr>
        <rFont val="Arial"/>
        <color rgb="FFFF9900"/>
        <sz val="10.0"/>
      </rPr>
      <t>ไม่</t>
    </r>
    <r>
      <rPr>
        <rFont val="Arial"/>
        <sz val="10.0"/>
      </rPr>
      <t xml:space="preserve">เท่ากับ 14011000 , 14012000 , 14013000, 21540005, 21540010, 21540015 , 21540006 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</si>
  <si>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สามารถ Mapping ค่ามาแสดงได้ไม่เป็นค่าว่าง
</t>
    </r>
  </si>
  <si>
    <t>TC-R05-12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</si>
  <si>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สามารถ Mapping ค่ามาแสดงได้ไม่เป็นค่าว่าง
</t>
    </r>
  </si>
  <si>
    <t>TC-R05-13</t>
  </si>
  <si>
    <r>
      <rPr>
        <rFont val="Arial"/>
        <sz val="10.0"/>
      </rPr>
      <t xml:space="preserve">ตรวจสอบการ </t>
    </r>
    <r>
      <rPr>
        <rFont val="Arial"/>
        <color rgb="FFC27BA0"/>
        <sz val="10.0"/>
      </rPr>
      <t xml:space="preserve">Summary Adj.Posting </t>
    </r>
    <r>
      <rPr>
        <rFont val="Arial"/>
        <sz val="10.0"/>
      </rPr>
      <t xml:space="preserve">ของรายงาน </t>
    </r>
    <r>
      <rPr>
        <rFont val="Arial"/>
        <color rgb="FFC27BA0"/>
        <sz val="10.0"/>
      </rPr>
      <t xml:space="preserve">R05ACC
</t>
    </r>
    <r>
      <rPr>
        <rFont val="Arial"/>
        <sz val="10.0"/>
      </rPr>
      <t>- 79120001 : Suspense - Premiums VFA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</si>
  <si>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Summary Adj.Posting ให้รวม Adj.Posting ของ GL ที่ไม่มี Disclosure Type (เช่น 14011000 , 14012000 , 14013000, 21540005, 21540010, 21540015 , 21540006 ) เข้าไปด้วย
</t>
    </r>
  </si>
  <si>
    <t>รายงาน R05 (ฝ่ายคณิตศาสตร์)</t>
  </si>
  <si>
    <t>TC-R05-14</t>
  </si>
  <si>
    <r>
      <rPr>
        <rFont val="Arial"/>
        <sz val="10.0"/>
      </rPr>
      <t>ตรวจสอบรายงาน</t>
    </r>
    <r>
      <rPr>
        <rFont val="Arial"/>
        <color rgb="FFC27BA0"/>
        <sz val="10.0"/>
      </rPr>
      <t xml:space="preserve"> R05</t>
    </r>
    <r>
      <rPr>
        <rFont val="Arial"/>
        <sz val="10.0"/>
      </rPr>
      <t xml:space="preserve"> : </t>
    </r>
    <r>
      <rPr>
        <rFont val="Arial"/>
        <color rgb="FFFF9900"/>
        <sz val="10.0"/>
      </rPr>
      <t>ตัด</t>
    </r>
    <r>
      <rPr>
        <rFont val="Arial"/>
        <color rgb="FFC27BA0"/>
        <sz val="10.0"/>
      </rPr>
      <t xml:space="preserve"> GL Code หมวด 4 ที่เป็น Event code ML-0009, ML-0010 และ GL 14011000  ออก
</t>
    </r>
    <r>
      <rPr>
        <rFont val="Arial"/>
        <color rgb="FF8E7CC3"/>
        <sz val="10.0"/>
      </rPr>
      <t xml:space="preserve">
EventCode ML-0009
- 14011000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</t>
    </r>
    <r>
      <rPr>
        <rFont val="Arial"/>
        <sz val="10.0"/>
      </rPr>
      <t xml:space="preserve">
</t>
    </r>
    <r>
      <rPr>
        <rFont val="Arial"/>
        <color rgb="FFE69138"/>
        <sz val="10.0"/>
      </rPr>
      <t>EventCode ML-0010
- 14011000 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
- 40512100 : เบี้ยประกันอุบัติเหตุ - ปีแรก (Phase 2) (รายการนี้ยังไม่มีใน UL)
- 40512200 : เบี้ยประกันอุบัติเหตุ - ปีต่อไป (Phase 2) (รายการนี้ยังไม่มีใน UL)
- 40513100 : เบี้ยประกันสุขภาพ - ปีแรก (Phase 2) (รายการนี้ยังไม่มีใน UL)
- 40513200 : เบี้ยประกันสุขภาพ - ปีต่อไป (Phase 2) (รายการนี้ยังไม่มีใน UL)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</si>
  <si>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 </t>
    </r>
    <r>
      <rPr>
        <rFont val="Arial"/>
        <sz val="10.0"/>
      </rPr>
      <t xml:space="preserve">: </t>
    </r>
    <r>
      <rPr>
        <rFont val="Arial"/>
        <color rgb="FFFF9900"/>
        <sz val="10.0"/>
      </rPr>
      <t>ไม่แสดง</t>
    </r>
    <r>
      <rPr>
        <rFont val="Arial"/>
        <sz val="10.0"/>
      </rPr>
      <t xml:space="preserve">ข้อมูลกรมธรรม์ตัด  GL Code หมวด 4 ที่เป็น Event code ML-0009, ML-0010 และ GL 14011000  
</t>
    </r>
    <r>
      <rPr>
        <rFont val="Arial"/>
        <color rgb="FF8E7CC3"/>
        <sz val="10.0"/>
      </rPr>
      <t>EventCode ML-0009
- 14011000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</t>
    </r>
    <r>
      <rPr>
        <rFont val="Arial"/>
        <sz val="10.0"/>
      </rPr>
      <t xml:space="preserve">
</t>
    </r>
    <r>
      <rPr>
        <rFont val="Arial"/>
        <color rgb="FFE69138"/>
        <sz val="10.0"/>
      </rPr>
      <t>EventCode ML-0010
- 14011000  : เบี้ยประกันชีวิตค้างรับ
- 40511100 : เบี้ยประกันชีวิต - ปีแรก (Premium Charge)
- 40511200 : เบี้ยประกันชีวิต - ปีต่อไป (Premium Charge)
- 40511500 : เบี้ยส่วนนำไปลงทุนของผู้เอาประกัน
- 40512100 : เบี้ยประกันอุบัติเหตุ - ปีแรก (Phase 2) (รายการนี้ยังไม่มีใน UL)
- 40512200 : เบี้ยประกันอุบัติเหตุ - ปีต่อไป (Phase 2) (รายการนี้ยังไม่มีใน UL)
- 40513100 : เบี้ยประกันสุขภาพ - ปีแรก (Phase 2) (รายการนี้ยังไม่มีใน UL)
- 40513200 : เบี้ยประกันสุขภาพ - ปีต่อไป (Phase 2) (รายการนี้ยังไม่มีใน UL)</t>
    </r>
  </si>
  <si>
    <t xml:space="preserve">Ref : EJ202508310001
</t>
  </si>
  <si>
    <t>TC-R05-15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</si>
  <si>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>GL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R05
</t>
    </r>
    <r>
      <rPr>
        <rFont val="Arial"/>
        <sz val="10.0"/>
      </rPr>
      <t>- 14011000 : เบี้ยประกันชีวิตค้างรับ 
- 14012000 : เบี้ยประกันอุบัติเหตุค้างรับ        
- 14013000 : เบี้ยประกันสุขภาพค้างรับ        
- 21540005 : เบี้ยประกันชีวิตรับล่วงหน้า
- 21540010 : เบี้ยประกันอุบัติเหตุรับล่วงหน้า
- 21540015 : เบี้ยประกันสุขภาพรับล่วงหน้า
- 21540006 : ส่วนลดเบี้ยประกันชีวิตล่วงหน้า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</si>
  <si>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 </t>
    </r>
    <r>
      <rPr>
        <rFont val="Arial"/>
        <sz val="10.0"/>
      </rPr>
      <t xml:space="preserve">: </t>
    </r>
    <r>
      <rPr>
        <rFont val="Arial"/>
        <color rgb="FFFF9900"/>
        <sz val="10.0"/>
      </rPr>
      <t>ไม่แสดง</t>
    </r>
    <r>
      <rPr>
        <rFont val="Arial"/>
        <sz val="10.0"/>
      </rPr>
      <t xml:space="preserve">ข้อมูลกรมธรรม์ของ GL 14011000 , 14012000 , 14013000, 21540005, 21540010, 21540015 , 21540006 
</t>
    </r>
  </si>
  <si>
    <t>Cancel Case เนื่องจากมีการตัด GL Code 14011000 ออกวันที่ 2026-06-29</t>
  </si>
  <si>
    <t>TC-R05-16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</si>
  <si>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 xml:space="preserve">R05 </t>
    </r>
    <r>
      <rPr>
        <rFont val="Arial"/>
        <sz val="10.0"/>
      </rPr>
      <t xml:space="preserve">: ปรับ config cf_r05_gl_mapping
- Column : TotalPremiumAmount  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</si>
  <si>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 </t>
    </r>
    <r>
      <rPr>
        <rFont val="Arial"/>
        <sz val="10.0"/>
      </rPr>
      <t>: Column TotalPremiumAmount  แสดงข้อมูลถูกต้อง</t>
    </r>
  </si>
  <si>
    <t>TC-R05-17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</si>
  <si>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 xml:space="preserve">R05 </t>
    </r>
    <r>
      <rPr>
        <rFont val="Arial"/>
        <sz val="10.0"/>
      </rPr>
      <t xml:space="preserve">: ปรับ config cf_r05_gl_mapping 
- Column : UnallocatedPremium 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</si>
  <si>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R05 </t>
    </r>
    <r>
      <rPr>
        <rFont val="Arial"/>
        <sz val="10.0"/>
      </rPr>
      <t>: Column UnallocatedPremium แสดงข้อมูลถูกต้อง</t>
    </r>
  </si>
  <si>
    <t>TC-R05-18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</si>
  <si>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OnePageSummary R05ACC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OnePageSummary R05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</si>
  <si>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OnePageSummary R05ACC </t>
    </r>
    <r>
      <rPr>
        <rFont val="Arial"/>
        <sz val="10.0"/>
      </rPr>
      <t xml:space="preserve">(ฝ่ายบัญชี) กับ </t>
    </r>
    <r>
      <rPr>
        <rFont val="Arial"/>
        <color rgb="FFC27BA0"/>
        <sz val="10.0"/>
      </rPr>
      <t xml:space="preserve">OnePageSummary R05 </t>
    </r>
    <r>
      <rPr>
        <rFont val="Arial"/>
        <sz val="10.0"/>
      </rPr>
      <t>(ฝ่ายคณิตศาสตร์) และ Free Template ได้จำนวนเงินเท่ากัน</t>
    </r>
  </si>
  <si>
    <t>รายการ R06 - Unit Link Products [ULP] Commission override VFA</t>
  </si>
  <si>
    <t>Process การประมวลผลข้อมูลออกรายงาน R06</t>
  </si>
  <si>
    <t>รายงาน  R06ACC  (ฝ่ายบัญชี)</t>
  </si>
  <si>
    <t>TC-R06-01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</si>
  <si>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>เพิ่มการดึงข้อมูล GL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>R06ACC</t>
    </r>
    <r>
      <rPr>
        <rFont val="Arial"/>
        <sz val="10.0"/>
      </rPr>
      <t xml:space="preserve">
- 23521000 : ค่าจ้างค่าบำเหน็จค้างจ่าย
- 15531015 : ค่าจ้างและค่าบำเหน็จจ่ายล่วงหน้า
</t>
    </r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</si>
  <si>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</si>
  <si>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>Sheet Reconcile Actual DATA</t>
    </r>
    <r>
      <rPr>
        <rFont val="Arial"/>
        <sz val="10.0"/>
      </rPr>
      <t xml:space="preserve">  แสดงข้อมูล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และดึงข้อมูล GL Code มาแสดงครบถ้วนถูกต้อง
- 23521000 : ค่าจ้างค่าบำเหน็จค้างจ่าย
- 15531015 : ค่าจ้างและค่าบำเหน็จจ่ายล่วงหน้า</t>
    </r>
  </si>
  <si>
    <t>TC-R06-02</t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</si>
  <si>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</si>
  <si>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>Sheet Adjustment Posting</t>
    </r>
    <r>
      <rPr>
        <rFont val="Arial"/>
        <sz val="10.0"/>
      </rPr>
      <t xml:space="preserve">  แสดงข้อมูล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และดึงข้อมูล GL Code มาแสดงครบถ้วนถูกต้อง
- 23521000 : ค่าจ้างค่าบำเหน็จค้างจ่าย
- 15531015 : ค่าจ้างและค่าบำเหน็จจ่ายล่วงหน้า</t>
    </r>
  </si>
  <si>
    <t>TC-R06-03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</si>
  <si>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>การดึงข้อมูล GL Code ที่มี Collection Type : ACCRUAL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
</t>
    </r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</si>
  <si>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</si>
  <si>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>Sheet Reconcile Actual DATA</t>
    </r>
    <r>
      <rPr>
        <rFont val="Arial"/>
        <sz val="10.0"/>
      </rPr>
      <t xml:space="preserve">  แสดงข้อมูล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ที่มี Collection Type : ACCRUAL มาแสดงครบถ้วนถูกต้อง</t>
    </r>
  </si>
  <si>
    <t>TC-R06-04</t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</si>
  <si>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</si>
  <si>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>Sheet Adjustment Posting</t>
    </r>
    <r>
      <rPr>
        <rFont val="Arial"/>
        <sz val="10.0"/>
      </rPr>
      <t xml:space="preserve">  แสดงข้อมูล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และดึงข้อมูล GL Code มาแสดงครบถ้วนถูกต้อง
- 23521000 : ค่าจ้างค่าบำเหน็จค้างจ่าย
- 15531015 : ค่าจ้างและค่าบำเหน็จจ่ายล่วงหน้า</t>
    </r>
  </si>
  <si>
    <t>TC-R06-05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</si>
  <si>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Receive Payment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R06ACC 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</si>
  <si>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Column Receive Payment Type</t>
    </r>
    <r>
      <rPr>
        <rFont val="Arial"/>
        <sz val="10.0"/>
      </rPr>
      <t xml:space="preserve">
-  มีการ Grouping Column เพิ่ม field Receive Payment Type
</t>
    </r>
  </si>
  <si>
    <t>TC-R06-06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</si>
  <si>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Column Receive Payment Type</t>
    </r>
    <r>
      <rPr>
        <rFont val="Arial"/>
        <sz val="10.0"/>
      </rPr>
      <t xml:space="preserve">
-  มีการ Grouping Column เพิ่ม field Receive Payment Type
</t>
    </r>
  </si>
  <si>
    <t>TC-R06-07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</si>
  <si>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R06ACC 
</t>
    </r>
    <r>
      <rPr>
        <rFont val="Arial"/>
        <sz val="10.0"/>
      </rPr>
      <t xml:space="preserve">กรณี GL Code เท่ากับ 23521000 และ 15531015 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</si>
  <si>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</t>
    </r>
    <r>
      <rPr>
        <rFont val="Arial"/>
        <sz val="10.0"/>
      </rPr>
      <t xml:space="preserve">
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แสดงเป็นค่าว่าง</t>
    </r>
  </si>
  <si>
    <t>TC-R06-08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</si>
  <si>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แสดงเป็นค่าว่าง
</t>
    </r>
  </si>
  <si>
    <t>TC-R06-09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</si>
  <si>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R06ACC 
</t>
    </r>
    <r>
      <rPr>
        <rFont val="Arial"/>
        <sz val="10.0"/>
      </rPr>
      <t xml:space="preserve">กรณี GL Code เท่ากับ 23521000 และ 15531015 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</si>
  <si>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แสดงเป็นค่าว่าง
</t>
    </r>
  </si>
  <si>
    <t>TC-R06-10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</si>
  <si>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แสดงเป็นค่าว่าง
</t>
    </r>
  </si>
  <si>
    <t>TC-R06-11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</si>
  <si>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R06ACC 
</t>
    </r>
    <r>
      <rPr>
        <rFont val="Arial"/>
        <sz val="10.0"/>
      </rPr>
      <t xml:space="preserve">กรณี GL Code </t>
    </r>
    <r>
      <rPr>
        <rFont val="Arial"/>
        <color rgb="FFFF9900"/>
        <sz val="10.0"/>
      </rPr>
      <t>ไม่</t>
    </r>
    <r>
      <rPr>
        <rFont val="Arial"/>
        <sz val="10.0"/>
      </rPr>
      <t xml:space="preserve">เท่ากับ 23521000 และ 15531015 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</si>
  <si>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</t>
    </r>
    <r>
      <rPr>
        <rFont val="Arial"/>
        <sz val="10.0"/>
      </rPr>
      <t xml:space="preserve">
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สามารถ Mapping ค่ามาแสดงได้ไม่เป็นค่าว่าง</t>
    </r>
  </si>
  <si>
    <t>TC-R06-12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</si>
  <si>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สามารถ Mapping ค่ามาแสดงได้ไม่เป็นค่าว่าง
</t>
    </r>
  </si>
  <si>
    <t>TC-R06-13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</si>
  <si>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R06ACC 
</t>
    </r>
    <r>
      <rPr>
        <rFont val="Arial"/>
        <sz val="10.0"/>
      </rPr>
      <t xml:space="preserve">กรณี GL Code </t>
    </r>
    <r>
      <rPr>
        <rFont val="Arial"/>
        <color rgb="FFFF9900"/>
        <sz val="10.0"/>
      </rPr>
      <t>ไม่</t>
    </r>
    <r>
      <rPr>
        <rFont val="Arial"/>
        <sz val="10.0"/>
      </rPr>
      <t xml:space="preserve">เท่ากับ 23521000 และ 15531015 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</si>
  <si>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สามารถ Mapping ค่ามาแสดงได้ไม่เป็นค่าว่าง
</t>
    </r>
  </si>
  <si>
    <t>TC-R06-14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</si>
  <si>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สามารถ Mapping ค่ามาแสดงได้ไม่เป็นค่าว่าง
</t>
    </r>
  </si>
  <si>
    <t>TC-R06-15</t>
  </si>
  <si>
    <r>
      <rPr>
        <rFont val="Arial"/>
        <sz val="10.0"/>
      </rPr>
      <t xml:space="preserve">ตรวจสอบการ </t>
    </r>
    <r>
      <rPr>
        <rFont val="Arial"/>
        <color rgb="FFC27BA0"/>
        <sz val="10.0"/>
      </rPr>
      <t xml:space="preserve">Summary Adj.Posting </t>
    </r>
    <r>
      <rPr>
        <rFont val="Arial"/>
        <sz val="10.0"/>
      </rPr>
      <t xml:space="preserve">ของรายงาน </t>
    </r>
    <r>
      <rPr>
        <rFont val="Arial"/>
        <color rgb="FFC27BA0"/>
        <sz val="10.0"/>
      </rPr>
      <t xml:space="preserve">R06ACC
</t>
    </r>
    <r>
      <rPr>
        <rFont val="Arial"/>
        <sz val="10.0"/>
      </rPr>
      <t>- 79120002 : Suspense - Commission_VFA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</si>
  <si>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Summary Adj.Posting ให้รวม Adj.Posting ของ GL ที่ไม่มี Disclosure Type (เช่น 15531015, 23521000) เข้าไปด้วย
</t>
    </r>
  </si>
  <si>
    <t>รายงาน R06 (ฝ่ายคณิตศาสตร์)</t>
  </si>
  <si>
    <t>TC-R06-16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</si>
  <si>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 xml:space="preserve">R06 </t>
    </r>
    <r>
      <rPr>
        <rFont val="Arial"/>
        <sz val="10.0"/>
      </rPr>
      <t>: การดึงข้อมูล GL Code 
- 23521000 : ค่าจ้างค่าบำเหน็จค้างจ่าย
- 15531015 : ค่าจ้างและค่าบำเหน็จจ่ายล่วงหน้า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</si>
  <si>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 </t>
    </r>
    <r>
      <rPr>
        <rFont val="Arial"/>
        <sz val="10.0"/>
      </rPr>
      <t xml:space="preserve">: </t>
    </r>
    <r>
      <rPr>
        <rFont val="Arial"/>
        <color rgb="FFFF9900"/>
        <sz val="10.0"/>
      </rPr>
      <t>ไม่แสดงข้อมูล</t>
    </r>
    <r>
      <rPr>
        <rFont val="Arial"/>
        <sz val="10.0"/>
      </rPr>
      <t xml:space="preserve">กรมธรรม์ของ GL Code : 23521000 (ค่าจ้างค่าบำเหน็จค้างจ่าย) ถูกต้อง
</t>
    </r>
  </si>
  <si>
    <t>TC-R06-17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</si>
  <si>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 xml:space="preserve">R06 </t>
    </r>
    <r>
      <rPr>
        <rFont val="Arial"/>
        <sz val="10.0"/>
      </rPr>
      <t>: การดึงข้อมูล GL Code ที่มี Collection Type : ACCRUAL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</si>
  <si>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 </t>
    </r>
    <r>
      <rPr>
        <rFont val="Arial"/>
        <sz val="10.0"/>
      </rPr>
      <t xml:space="preserve">: </t>
    </r>
    <r>
      <rPr>
        <rFont val="Arial"/>
        <color rgb="FFFF9900"/>
        <sz val="10.0"/>
      </rPr>
      <t>ไม่แสดงข้อมูล</t>
    </r>
    <r>
      <rPr>
        <rFont val="Arial"/>
        <sz val="10.0"/>
      </rPr>
      <t xml:space="preserve">กรมธรรม์ของ GL Code ที่มี Collection Type : ACCRUALถูกต้อง
</t>
    </r>
  </si>
  <si>
    <t>TC-R06-18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</si>
  <si>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R06ACC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R06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</si>
  <si>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(ฝ่ายบัญชี) กับ </t>
    </r>
    <r>
      <rPr>
        <rFont val="Arial"/>
        <color rgb="FFD5A6BD"/>
        <sz val="10.0"/>
      </rPr>
      <t xml:space="preserve">R05 </t>
    </r>
    <r>
      <rPr>
        <rFont val="Arial"/>
        <sz val="10.0"/>
      </rPr>
      <t>(ฝ่ายคณิตศาสตร์) และ Free Template ได้จำนวนเงินเท่ากัน</t>
    </r>
  </si>
  <si>
    <r>
      <rPr>
        <rFont val="Arial"/>
        <b/>
        <color rgb="FF000000"/>
        <sz val="10.0"/>
      </rPr>
      <t xml:space="preserve">กรณี GL Code 50551218, 50551219, 50551221 </t>
    </r>
    <r>
      <rPr>
        <rFont val="Arial"/>
        <b/>
        <color rgb="FFFF0000"/>
        <sz val="10.0"/>
      </rPr>
      <t>ยังไม่ยกเลิก</t>
    </r>
    <r>
      <rPr>
        <rFont val="Arial"/>
        <b/>
        <color rgb="FF000000"/>
        <sz val="10.0"/>
      </rPr>
      <t xml:space="preserve"> เงื่อนไขตรวจสอบ 'หาก Cost Center เป็น 830044 และขึ้นต้นด้วย 1 ถึง 7</t>
    </r>
  </si>
  <si>
    <t>TC-R06-19</t>
  </si>
  <si>
    <r>
      <rPr>
        <rFont val="Arial"/>
        <sz val="10.0"/>
      </rPr>
      <t xml:space="preserve">ตรวจสอบกรณียัง </t>
    </r>
    <r>
      <rPr>
        <rFont val="Arial"/>
        <color rgb="FFE06666"/>
        <sz val="10.0"/>
      </rPr>
      <t>ไม่ยกเลิก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
- 50551218 : ค่าบริหารทีมงานพิเศษ - ปีแรก 
- 50551219 : ค่าบริหารทีมงานพิเศษ
- 50551221 : โบนัสราย 3 งวด</t>
    </r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</si>
  <si>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</si>
  <si>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>-  กรณี GL Code : 50551218, 50551219, 50551221 หาก Cost Center เป็น 830044 และขึ้นต้นด้วย 1 ถึง 7 จะ</t>
    </r>
    <r>
      <rPr>
        <rFont val="Arial"/>
        <color rgb="FFCC4125"/>
        <sz val="10.0"/>
      </rPr>
      <t>ไม่ใช้ออกรายงาน</t>
    </r>
    <r>
      <rPr>
        <rFont val="Arial"/>
        <sz val="10.0"/>
      </rPr>
      <t xml:space="preserve"> นอกนั้นประมวลผลตามปกติ
</t>
    </r>
  </si>
  <si>
    <t>TC-R06-20</t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</si>
  <si>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</si>
  <si>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>-  GL Code 50551218, 50551219, 50551221 หาก Cost Center เป็น 830044 และขึ้นต้นด้วย 1 ถึง 7 จะ</t>
    </r>
    <r>
      <rPr>
        <rFont val="Arial"/>
        <color rgb="FFCC4125"/>
        <sz val="10.0"/>
      </rPr>
      <t>ไม่ใช้ออกรายงาน</t>
    </r>
    <r>
      <rPr>
        <rFont val="Arial"/>
        <sz val="10.0"/>
      </rPr>
      <t xml:space="preserve"> นอกนั้นประมวลผลตามปกติ
</t>
    </r>
  </si>
  <si>
    <t>TC-R06-21</t>
  </si>
  <si>
    <r>
      <rPr>
        <rFont val="Arial"/>
        <sz val="10.0"/>
      </rPr>
      <t xml:space="preserve">ตรวจสอบกรณียัง </t>
    </r>
    <r>
      <rPr>
        <rFont val="Arial"/>
        <color rgb="FFE06666"/>
        <sz val="10.0"/>
      </rPr>
      <t>ไม่ยกเลิก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
- 50551218 : ค่าบริหารทีมงานพิเศษ - ปีแรก 
- 50551219 : ค่าบริหารทีมงานพิเศษ
- 50551221 : โบนัสราย 3 งวด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</si>
  <si>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>R06</t>
    </r>
    <r>
      <rPr>
        <rFont val="Arial"/>
        <color rgb="FF9900FF"/>
        <sz val="10.0"/>
      </rPr>
      <t xml:space="preserve">
</t>
    </r>
    <r>
      <rPr>
        <rFont val="Arial"/>
        <sz val="10.0"/>
      </rPr>
      <t>-  กรณี GL Code : 50551218, 50551219, 50551221 หาก Cost Center เป็น 830044 และขึ้นต้นด้วย 1 ถึง 7 จะ</t>
    </r>
    <r>
      <rPr>
        <rFont val="Arial"/>
        <color rgb="FFCC4125"/>
        <sz val="10.0"/>
      </rPr>
      <t>ไม่ใช้ออกรายงาน</t>
    </r>
    <r>
      <rPr>
        <rFont val="Arial"/>
        <sz val="10.0"/>
      </rPr>
      <t xml:space="preserve"> นอกนั้นประมวลผลตามปกติ
</t>
    </r>
  </si>
  <si>
    <r>
      <rPr>
        <rFont val="Arial"/>
        <b/>
        <color rgb="FF000000"/>
        <sz val="10.0"/>
      </rPr>
      <t xml:space="preserve">กรณี GL Code 50551218, 50551219, 50551221 </t>
    </r>
    <r>
      <rPr>
        <rFont val="Arial"/>
        <b/>
        <color rgb="FFFF0000"/>
        <sz val="10.0"/>
      </rPr>
      <t>ยกเลิก</t>
    </r>
    <r>
      <rPr>
        <rFont val="Arial"/>
        <b/>
        <color rgb="FF000000"/>
        <sz val="10.0"/>
      </rPr>
      <t xml:space="preserve"> เงื่อนไขตรวจสอบ 'หาก Cost Center เป็น 830044 และขึ้นต้นด้วย 1 ถึง 7 โดยเริ่มใช้ใน Period 2027/01</t>
    </r>
  </si>
  <si>
    <t>TC-R06-22</t>
  </si>
  <si>
    <r>
      <rPr>
        <rFont val="Arial"/>
        <sz val="10.0"/>
      </rPr>
      <t xml:space="preserve">ตรวจสอบกรณี </t>
    </r>
    <r>
      <rPr>
        <rFont val="Arial"/>
        <color rgb="FFE06666"/>
        <sz val="10.0"/>
      </rPr>
      <t>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โดยเริ่มใช้ใน Period 2027/01 
- 50551218 : ค่าบริหารทีมงานพิเศษ - ปีแรก 
- 50551219 : ค่าบริหารทีมงานพิเศษ
- 50551221 : โบนัสราย 3 งวด</t>
    </r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</si>
  <si>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</si>
  <si>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>-  กรณี GL Code 50551218, 50551219, 50551221 หาก Cost Center เป็น 830044 และขึ้นต้นด้วย 1 ถึง 7 จะ</t>
    </r>
    <r>
      <rPr>
        <rFont val="Arial"/>
        <color rgb="FFCC4125"/>
        <sz val="10.0"/>
      </rPr>
      <t>ให้ออกรายงานได้</t>
    </r>
    <r>
      <rPr>
        <rFont val="Arial"/>
        <sz val="10.0"/>
      </rPr>
      <t xml:space="preserve">
</t>
    </r>
  </si>
  <si>
    <t>TC-R06-23</t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</si>
  <si>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</si>
  <si>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>-  GL Code 50551218, 50551219, 50551221 หาก Cost Center เป็น 830044 และขึ้นต้นด้วย 1 ถึง 7 จะ</t>
    </r>
    <r>
      <rPr>
        <rFont val="Arial"/>
        <color rgb="FFCC4125"/>
        <sz val="10.0"/>
      </rPr>
      <t>ออกรายงาน</t>
    </r>
    <r>
      <rPr>
        <rFont val="Arial"/>
        <sz val="10.0"/>
      </rPr>
      <t xml:space="preserve">ตามปกติ
</t>
    </r>
  </si>
  <si>
    <t>TC-R06-24</t>
  </si>
  <si>
    <r>
      <rPr>
        <rFont val="Arial"/>
        <sz val="10.0"/>
      </rPr>
      <t xml:space="preserve">ตรวจสอบกรณี </t>
    </r>
    <r>
      <rPr>
        <rFont val="Arial"/>
        <color rgb="FFE06666"/>
        <sz val="10.0"/>
      </rPr>
      <t>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
- 50551218 : ค่าบริหารทีมงานพิเศษ - ปีแรก 
- 50551219 : ค่าบริหารทีมงานพิเศษ
- 50551221 : โบนัสราย 3 งวด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</si>
  <si>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>R06</t>
    </r>
    <r>
      <rPr>
        <rFont val="Arial"/>
        <color rgb="FF9900FF"/>
        <sz val="10.0"/>
      </rPr>
      <t xml:space="preserve">
</t>
    </r>
    <r>
      <rPr>
        <rFont val="Arial"/>
        <sz val="10.0"/>
      </rPr>
      <t>-  GL Code 50551218, 50551219, 50551221 หาก Cost Center เป็น 830044 และขึ้นต้นด้วย 1 ถึง 7 จะ</t>
    </r>
    <r>
      <rPr>
        <rFont val="Arial"/>
        <color rgb="FFCC4125"/>
        <sz val="10.0"/>
      </rPr>
      <t>ออกรายงาน</t>
    </r>
    <r>
      <rPr>
        <rFont val="Arial"/>
        <sz val="10.0"/>
      </rPr>
      <t xml:space="preserve">ตามปกติ
</t>
    </r>
  </si>
  <si>
    <t>รายการ R02 - Ordinary Products [OP] Commission override GMM</t>
  </si>
  <si>
    <t>Process การประมวลผลข้อมูลออกรายงาน R02</t>
  </si>
  <si>
    <r>
      <rPr>
        <rFont val="Arial"/>
        <b/>
        <color rgb="FF000000"/>
        <sz val="10.0"/>
      </rPr>
      <t xml:space="preserve">กรณี GL Code  50551218, 50551219, 50551221 </t>
    </r>
    <r>
      <rPr>
        <rFont val="Arial"/>
        <b/>
        <color rgb="FFFF0000"/>
        <sz val="10.0"/>
      </rPr>
      <t>ยังไม่ยกเลิก</t>
    </r>
    <r>
      <rPr>
        <rFont val="Arial"/>
        <b/>
        <color rgb="FF000000"/>
        <sz val="10.0"/>
      </rPr>
      <t xml:space="preserve"> เงื่อนไขตรวจสอบ 'หาก Cost Center เป็น 830044 และขึ้นต้นด้วย 1 ถึง 7</t>
    </r>
  </si>
  <si>
    <t>รายงาน  R02ACC  (ฝ่ายบัญชี)</t>
  </si>
  <si>
    <t>TC-R02-01</t>
  </si>
  <si>
    <r>
      <rPr>
        <rFont val="Arial"/>
        <sz val="10.0"/>
      </rPr>
      <t xml:space="preserve">ตรวจสอบกรณียัง </t>
    </r>
    <r>
      <rPr>
        <rFont val="Arial"/>
        <color rgb="FFE06666"/>
        <sz val="10.0"/>
      </rPr>
      <t>ไม่ยกเลิก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
- 50551218 : ค่าบริหารทีมงานพิเศษ - ปีแรก 
- 50551219 : ค่าบริหารทีมงานพิเศษ
- 50551221 : โบนัสราย 3 งวด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</si>
  <si>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>-  GL Code 50551218, 50551219, 50551221 หาก Cost Center เป็น 830044 และขึ้นต้นด้วย 1 ถึง 7 จะ</t>
    </r>
    <r>
      <rPr>
        <rFont val="Arial"/>
        <color rgb="FFE06666"/>
        <sz val="10.0"/>
      </rPr>
      <t>ให้ออกรายงานได้</t>
    </r>
    <r>
      <rPr>
        <rFont val="Arial"/>
        <sz val="10.0"/>
      </rPr>
      <t xml:space="preserve">
</t>
    </r>
  </si>
  <si>
    <t>Ref : ED202601170006	
Accounting Date : 2026-01-17
Ref : ED202601180004	
Accounting Date : 2026-01-18</t>
  </si>
  <si>
    <t>TC-R02-02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</si>
  <si>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>-  GL Code  50551218, 50551219, 50551221 หาก Cost Center เป็น 830044 และขึ้นต้นด้วย 1 ถึง 7 จะ</t>
    </r>
    <r>
      <rPr>
        <rFont val="Arial"/>
        <color rgb="FFCC4125"/>
        <sz val="10.0"/>
      </rPr>
      <t>ไม่ใช้ออกรายงาน</t>
    </r>
    <r>
      <rPr>
        <rFont val="Arial"/>
        <sz val="10.0"/>
      </rPr>
      <t xml:space="preserve"> นอกนั้นประมวลผลตามปกติ
</t>
    </r>
  </si>
  <si>
    <t>TC-R02-03</t>
  </si>
  <si>
    <r>
      <rPr>
        <rFont val="Arial"/>
      </rPr>
      <t xml:space="preserve">ตรวจสอบ Reconcile รายงาน </t>
    </r>
    <r>
      <rPr>
        <rFont val="Arial"/>
        <color rgb="FFC27BA0"/>
      </rPr>
      <t xml:space="preserve">R02ACC  </t>
    </r>
    <r>
      <rPr>
        <rFont val="Arial"/>
      </rPr>
      <t>(ฝ่ายบัญชี) กับ Free Template</t>
    </r>
  </si>
  <si>
    <r>
      <rPr>
        <rFont val="Arial"/>
      </rPr>
      <t xml:space="preserve">1. สามารถ Reconcile รายงาน </t>
    </r>
    <r>
      <rPr>
        <rFont val="Arial"/>
        <color rgb="FFC27BA0"/>
      </rPr>
      <t xml:space="preserve">R02ACC </t>
    </r>
    <r>
      <rPr>
        <rFont val="Arial"/>
      </rPr>
      <t>(ฝ่ายบัญชี) กับ Free Template ได้จำนวนเงินเท่ากัน</t>
    </r>
  </si>
  <si>
    <t>TC-R02-04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</si>
  <si>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R02ACC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R02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</si>
  <si>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(ฝ่ายบัญชี) กับ </t>
    </r>
    <r>
      <rPr>
        <rFont val="Arial"/>
        <color rgb="FFD5A6BD"/>
        <sz val="10.0"/>
      </rPr>
      <t xml:space="preserve">R02 </t>
    </r>
    <r>
      <rPr>
        <rFont val="Arial"/>
        <sz val="10.0"/>
      </rPr>
      <t>(ฝ่ายคณิตศาสตร์) ได้จำนวนเงินเท่ากัน</t>
    </r>
  </si>
  <si>
    <t>รายงาน R02 (ฝ่ายคณิตศาสตร์)</t>
  </si>
  <si>
    <t>TC-R02-05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</si>
  <si>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>R02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</si>
  <si>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 </t>
    </r>
    <r>
      <rPr>
        <rFont val="Arial"/>
        <sz val="10.0"/>
      </rPr>
      <t xml:space="preserve">: แสดงข้อมูลกรมธรรม์มาแสดงครบถ้วนถูกต้อง
</t>
    </r>
  </si>
  <si>
    <t>TC-R02-06</t>
  </si>
  <si>
    <r>
      <rPr>
        <rFont val="Arial"/>
      </rPr>
      <t xml:space="preserve">ตรวจสอบ Reconcile รายงาน </t>
    </r>
    <r>
      <rPr>
        <rFont val="Arial"/>
        <color rgb="FFC27BA0"/>
      </rPr>
      <t xml:space="preserve">R02 </t>
    </r>
    <r>
      <rPr>
        <rFont val="Arial"/>
      </rPr>
      <t>(ฝ่ายคณิตศาสตร์) กับ Free Template</t>
    </r>
  </si>
  <si>
    <r>
      <rPr>
        <rFont val="Arial"/>
      </rPr>
      <t xml:space="preserve">1. สามารถ Reconcile รายงาน </t>
    </r>
    <r>
      <rPr>
        <rFont val="Arial"/>
        <color rgb="FFC27BA0"/>
      </rPr>
      <t xml:space="preserve">R02 </t>
    </r>
    <r>
      <rPr>
        <rFont val="Arial"/>
      </rPr>
      <t>(ฝ่ายคณิตศาสตร์) กับ Free Template ได้จำนวนเงินเท่ากัน</t>
    </r>
  </si>
  <si>
    <t>TC-R02-07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</si>
  <si>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OnePageSummary R02ACC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OnePageSummary R02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</si>
  <si>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OnePageSummary R02ACC </t>
    </r>
    <r>
      <rPr>
        <rFont val="Arial"/>
        <sz val="10.0"/>
      </rPr>
      <t xml:space="preserve">(ฝ่ายบัญชี) กับ </t>
    </r>
    <r>
      <rPr>
        <rFont val="Arial"/>
        <color rgb="FFC27BA0"/>
        <sz val="10.0"/>
      </rPr>
      <t xml:space="preserve">OnePageSummary R02 </t>
    </r>
    <r>
      <rPr>
        <rFont val="Arial"/>
        <sz val="10.0"/>
      </rPr>
      <t>(ฝ่ายคณิตศาสตร์) ได้จำนวนเงินเท่ากัน</t>
    </r>
  </si>
  <si>
    <r>
      <rPr>
        <rFont val="Arial"/>
        <b/>
        <color rgb="FF000000"/>
        <sz val="10.0"/>
      </rPr>
      <t xml:space="preserve">กรณี GL Code  50551218, 50551219, 50551221 </t>
    </r>
    <r>
      <rPr>
        <rFont val="Arial"/>
        <b/>
        <color rgb="FFFF0000"/>
        <sz val="10.0"/>
      </rPr>
      <t>ยกเลิก</t>
    </r>
    <r>
      <rPr>
        <rFont val="Arial"/>
        <b/>
        <color rgb="FF000000"/>
        <sz val="10.0"/>
      </rPr>
      <t xml:space="preserve"> เงื่อนไขตรวจสอบ 'หาก Cost Center เป็น 830044 และขึ้นต้นด้วย 1 ถึง 7 โดยเริ่มใช้ใน Period 2027/01</t>
    </r>
  </si>
  <si>
    <t>TC-R02-08</t>
  </si>
  <si>
    <r>
      <rPr>
        <rFont val="Arial"/>
        <sz val="10.0"/>
      </rPr>
      <t xml:space="preserve">ตรวจสอบกรณี </t>
    </r>
    <r>
      <rPr>
        <rFont val="Arial"/>
        <color rgb="FFE06666"/>
        <sz val="10.0"/>
      </rPr>
      <t>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โดยเริ่มใช้ใน Period 2027/01 
- 50551218 : ค่าบริหารทีมงานพิเศษ - ปีแรก 
- 50551219 : ค่าบริหารทีมงานพิเศษ
- 50551221 : โบนัสราย 3 งวด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</si>
  <si>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>-  GL Code  50551218, 50551219, 50551221 หาก Cost Center เป็น 830044 และขึ้นต้นด้วย 1 ถึง 7 จะ</t>
    </r>
    <r>
      <rPr>
        <rFont val="Arial"/>
        <color rgb="FFCC4125"/>
        <sz val="10.0"/>
      </rPr>
      <t>ไม่ใช้ออกรายงาน</t>
    </r>
    <r>
      <rPr>
        <rFont val="Arial"/>
        <sz val="10.0"/>
      </rPr>
      <t xml:space="preserve"> นอกนั้นประมวลผลตามปกติ
</t>
    </r>
  </si>
  <si>
    <t>TC-R02-09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</si>
  <si>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>-  GL Code 50551218, 50551219, 50551221 หาก Cost Center เป็น 830044 และขึ้นต้นด้วย 1 ถึง 7 จะ</t>
    </r>
    <r>
      <rPr>
        <rFont val="Arial"/>
        <color rgb="FFCC4125"/>
        <sz val="10.0"/>
      </rPr>
      <t>ออกรายงาน</t>
    </r>
    <r>
      <rPr>
        <rFont val="Arial"/>
        <sz val="10.0"/>
      </rPr>
      <t xml:space="preserve">ตามปกติ
</t>
    </r>
  </si>
  <si>
    <t>TC-R02-10</t>
  </si>
  <si>
    <r>
      <rPr>
        <rFont val="Arial"/>
      </rPr>
      <t xml:space="preserve">ตรวจสอบ Reconcile รายงาน </t>
    </r>
    <r>
      <rPr>
        <rFont val="Arial"/>
        <color rgb="FFC27BA0"/>
      </rPr>
      <t xml:space="preserve">R02ACC  </t>
    </r>
    <r>
      <rPr>
        <rFont val="Arial"/>
      </rPr>
      <t>(ฝ่ายบัญชี) กับ Free Template</t>
    </r>
  </si>
  <si>
    <r>
      <rPr>
        <rFont val="Arial"/>
      </rPr>
      <t xml:space="preserve">1. สามารถ Reconcile รายงาน </t>
    </r>
    <r>
      <rPr>
        <rFont val="Arial"/>
        <color rgb="FFC27BA0"/>
      </rPr>
      <t xml:space="preserve">R02ACC </t>
    </r>
    <r>
      <rPr>
        <rFont val="Arial"/>
      </rPr>
      <t>(ฝ่ายบัญชี) กับ Free Template ได้จำนวนเงินเท่ากัน</t>
    </r>
  </si>
  <si>
    <t>TC-R02-11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</si>
  <si>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R02ACC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R06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</si>
  <si>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(ฝ่ายบัญชี) กับ </t>
    </r>
    <r>
      <rPr>
        <rFont val="Arial"/>
        <color rgb="FFD5A6BD"/>
        <sz val="10.0"/>
      </rPr>
      <t xml:space="preserve">R05 </t>
    </r>
    <r>
      <rPr>
        <rFont val="Arial"/>
        <sz val="10.0"/>
      </rPr>
      <t>(ฝ่ายคณิตศาสตร์) ได้จำนวนเงินเท่ากัน</t>
    </r>
  </si>
  <si>
    <t>TC-R02-12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</si>
  <si>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>R02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</si>
  <si>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R06 </t>
    </r>
    <r>
      <rPr>
        <rFont val="Arial"/>
        <sz val="10.0"/>
      </rPr>
      <t xml:space="preserve">: แสดงข้อมูลกรมธรรม์มาแสดงครบถ้วนถูกต้อง
</t>
    </r>
  </si>
  <si>
    <t>TC-R02-13</t>
  </si>
  <si>
    <r>
      <rPr>
        <rFont val="Arial"/>
      </rPr>
      <t xml:space="preserve">ตรวจสอบ Reconcile รายงาน </t>
    </r>
    <r>
      <rPr>
        <rFont val="Arial"/>
        <color rgb="FFC27BA0"/>
      </rPr>
      <t xml:space="preserve">R02 </t>
    </r>
    <r>
      <rPr>
        <rFont val="Arial"/>
      </rPr>
      <t>(ฝ่ายคณิตศาสตร์) กับ Free Template</t>
    </r>
  </si>
  <si>
    <r>
      <rPr>
        <rFont val="Arial"/>
      </rPr>
      <t xml:space="preserve">1. สามารถ Reconcile รายงาน </t>
    </r>
    <r>
      <rPr>
        <rFont val="Arial"/>
        <color rgb="FFC27BA0"/>
      </rPr>
      <t xml:space="preserve">R02 </t>
    </r>
    <r>
      <rPr>
        <rFont val="Arial"/>
      </rPr>
      <t>(ฝ่ายคณิตศาสตร์) กับ Free Template ได้จำนวนเงินเท่ากัน</t>
    </r>
  </si>
  <si>
    <t>TC-R02-14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</si>
  <si>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OnePageSummary R02ACC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OnePageSummary R02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</si>
  <si>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OnePageSummary R02ACC </t>
    </r>
    <r>
      <rPr>
        <rFont val="Arial"/>
        <sz val="10.0"/>
      </rPr>
      <t xml:space="preserve">(ฝ่ายบัญชี) กับ </t>
    </r>
    <r>
      <rPr>
        <rFont val="Arial"/>
        <color rgb="FFC27BA0"/>
        <sz val="10.0"/>
      </rPr>
      <t xml:space="preserve">OnePageSummary R02 </t>
    </r>
    <r>
      <rPr>
        <rFont val="Arial"/>
        <sz val="10.0"/>
      </rPr>
      <t>(ฝ่ายคณิตศาสตร์) ได้จำนวนเงินเท่ากัน</t>
    </r>
  </si>
  <si>
    <r>
      <rPr>
        <rFont val="Arial"/>
        <b/>
        <color rgb="FF000000"/>
        <sz val="10.0"/>
      </rPr>
      <t xml:space="preserve">กรณี GL Code  50551218, 50551219, 50551221 </t>
    </r>
    <r>
      <rPr>
        <rFont val="Arial"/>
        <b/>
        <color rgb="FFFF0000"/>
        <sz val="10.0"/>
      </rPr>
      <t>ยังไม่ยกเลิก</t>
    </r>
    <r>
      <rPr>
        <rFont val="Arial"/>
        <b/>
        <color rgb="FF000000"/>
        <sz val="10.0"/>
      </rPr>
      <t xml:space="preserve"> เงื่อนไขตรวจสอบ 'หาก Cost Center เป็น 830044 และขึ้นต้นด้วย 1 ถึง 7
กรณี Cost Center เป็น 930044 จะต้องแสดงในรายงาน</t>
    </r>
  </si>
  <si>
    <t>TC-R02-15</t>
  </si>
  <si>
    <r>
      <rPr>
        <rFont val="Arial"/>
        <sz val="10.0"/>
      </rPr>
      <t xml:space="preserve">ตรวจสอบกรณียัง </t>
    </r>
    <r>
      <rPr>
        <rFont val="Arial"/>
        <color rgb="FFE06666"/>
        <sz val="10.0"/>
      </rPr>
      <t>ไม่ยกเลิก</t>
    </r>
    <r>
      <rPr>
        <rFont val="Arial"/>
        <color rgb="FFCC0000"/>
        <sz val="10.0"/>
      </rPr>
      <t xml:space="preserve"> </t>
    </r>
    <r>
      <rPr>
        <rFont val="Arial"/>
        <sz val="10.0"/>
      </rPr>
      <t>เงื่อนไขตรวจสอบหาก  Cost Center เป็น 830044 และขึ้นต้นด้วย 1 ถึง 7 ของ GL Code ด้านล่าง 
- 50551218 : ค่าบริหารทีมงานพิเศษ - ปีแรก 
- 50551219 : ค่าบริหารทีมงานพิเศษ
- 50551221 : โบนัสราย 3 งวด
ทดสอบกรณี Cost Center = 930044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</si>
  <si>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>-  GL Code 50551218, 50551219, 50551221 หาก Cost Center เป็น 830044 และขึ้นต้นด้วย 1 ถึง 7 จะ</t>
    </r>
    <r>
      <rPr>
        <rFont val="Arial"/>
        <color rgb="FFE06666"/>
        <sz val="10.0"/>
      </rPr>
      <t>ให้ออกรายงานได้</t>
    </r>
    <r>
      <rPr>
        <rFont val="Arial"/>
        <sz val="10.0"/>
      </rPr>
      <t xml:space="preserve">
</t>
    </r>
  </si>
  <si>
    <t>TC-R02-16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</si>
  <si>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>-  GL Code  50551218, 50551219, 50551221 หาก Cost Center เป็น 830044 และขึ้นต้นด้วย 1 ถึง 7 จะ</t>
    </r>
    <r>
      <rPr>
        <rFont val="Arial"/>
        <color rgb="FFCC4125"/>
        <sz val="10.0"/>
      </rPr>
      <t>ไม่ใช้ออกรายงาน</t>
    </r>
    <r>
      <rPr>
        <rFont val="Arial"/>
        <sz val="10.0"/>
      </rPr>
      <t xml:space="preserve"> นอกนั้นประมวลผลตามปกติ
</t>
    </r>
  </si>
  <si>
    <t>TC-R02-17</t>
  </si>
  <si>
    <r>
      <rPr>
        <rFont val="Arial"/>
      </rPr>
      <t xml:space="preserve">ตรวจสอบ Reconcile รายงาน </t>
    </r>
    <r>
      <rPr>
        <rFont val="Arial"/>
        <color rgb="FFC27BA0"/>
      </rPr>
      <t xml:space="preserve">R02ACC  </t>
    </r>
    <r>
      <rPr>
        <rFont val="Arial"/>
      </rPr>
      <t>(ฝ่ายบัญชี) กับ Free Template</t>
    </r>
  </si>
  <si>
    <r>
      <rPr>
        <rFont val="Arial"/>
      </rPr>
      <t xml:space="preserve">1. สามารถ Reconcile รายงาน </t>
    </r>
    <r>
      <rPr>
        <rFont val="Arial"/>
        <color rgb="FFC27BA0"/>
      </rPr>
      <t xml:space="preserve">R02ACC </t>
    </r>
    <r>
      <rPr>
        <rFont val="Arial"/>
      </rPr>
      <t>(ฝ่ายบัญชี) กับ Free Template ได้จำนวนเงินเท่ากัน</t>
    </r>
  </si>
  <si>
    <t>TC-R02-18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</si>
  <si>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R02ACC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R02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</si>
  <si>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R02ACC </t>
    </r>
    <r>
      <rPr>
        <rFont val="Arial"/>
        <sz val="10.0"/>
      </rPr>
      <t xml:space="preserve">(ฝ่ายบัญชี) กับ </t>
    </r>
    <r>
      <rPr>
        <rFont val="Arial"/>
        <color rgb="FFD5A6BD"/>
        <sz val="10.0"/>
      </rPr>
      <t xml:space="preserve">R02 </t>
    </r>
    <r>
      <rPr>
        <rFont val="Arial"/>
        <sz val="10.0"/>
      </rPr>
      <t>(ฝ่ายคณิตศาสตร์) ได้จำนวนเงินเท่ากัน</t>
    </r>
  </si>
  <si>
    <t>TC-R02-19</t>
  </si>
  <si>
    <r>
      <rPr>
        <rFont val="Arial"/>
        <sz val="10.0"/>
      </rPr>
      <t xml:space="preserve">ตรวจสอบรายงาน </t>
    </r>
    <r>
      <rPr>
        <rFont val="Arial"/>
        <color rgb="FFC27BA0"/>
        <sz val="10.0"/>
      </rPr>
      <t>R02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</si>
  <si>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R02 </t>
    </r>
    <r>
      <rPr>
        <rFont val="Arial"/>
        <sz val="10.0"/>
      </rPr>
      <t xml:space="preserve">: แสดงข้อมูลกรมธรรม์มาแสดงครบถ้วนถูกต้อง
</t>
    </r>
  </si>
  <si>
    <t>TC-R02-20</t>
  </si>
  <si>
    <r>
      <rPr>
        <rFont val="Arial"/>
      </rPr>
      <t xml:space="preserve">ตรวจสอบ Reconcile รายงาน </t>
    </r>
    <r>
      <rPr>
        <rFont val="Arial"/>
        <color rgb="FFC27BA0"/>
      </rPr>
      <t xml:space="preserve">R02 </t>
    </r>
    <r>
      <rPr>
        <rFont val="Arial"/>
      </rPr>
      <t>(ฝ่ายคณิตศาสตร์) กับ Free Template</t>
    </r>
  </si>
  <si>
    <r>
      <rPr>
        <rFont val="Arial"/>
      </rPr>
      <t xml:space="preserve">1. สามารถ Reconcile รายงาน </t>
    </r>
    <r>
      <rPr>
        <rFont val="Arial"/>
        <color rgb="FFC27BA0"/>
      </rPr>
      <t xml:space="preserve">R02 </t>
    </r>
    <r>
      <rPr>
        <rFont val="Arial"/>
      </rPr>
      <t>(ฝ่ายคณิตศาสตร์) กับ Free Template ได้จำนวนเงินเท่ากัน</t>
    </r>
  </si>
  <si>
    <t>TC-R02-21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</si>
  <si>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OnePageSummary R02ACC 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OnePageSummary R02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</si>
  <si>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OnePageSummary R02ACC </t>
    </r>
    <r>
      <rPr>
        <rFont val="Arial"/>
        <sz val="10.0"/>
      </rPr>
      <t xml:space="preserve">(ฝ่ายบัญชี) กับ </t>
    </r>
    <r>
      <rPr>
        <rFont val="Arial"/>
        <color rgb="FFC27BA0"/>
        <sz val="10.0"/>
      </rPr>
      <t xml:space="preserve">OnePageSummary R02 </t>
    </r>
    <r>
      <rPr>
        <rFont val="Arial"/>
        <sz val="10.0"/>
      </rPr>
      <t>(ฝ่ายคณิตศาสตร์) ได้จำนวนเงินเท่ากัน</t>
    </r>
  </si>
  <si>
    <t>รายการ R14 - Ordinary Products [OP] APL and PL GMM</t>
  </si>
  <si>
    <t>Process การประมวลผลข้อมูลออกรายงาน R14</t>
  </si>
  <si>
    <t>รายงาน  R14ACC  (ฝ่ายบัญชี)</t>
  </si>
  <si>
    <t>TC-R14-01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</si>
  <si>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>เพิ่มการดึง GL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R14ACC
</t>
    </r>
    <r>
      <rPr>
        <rFont val="Arial"/>
        <sz val="10.0"/>
      </rPr>
      <t>- 14522111 : ดอกเบี้ยค้างรับ - เงินกู้ประกันชีวิต
- 14522112 : ดอกเบี้ยค้างรับ - เงินกู้ประกันชีวิตอัตโนมัติ
- 14522113 : ดอกเบี้ยทบต้นค้างรับ - เงินกู้ประกันชีวิตอัตโนมัติ
- 14522114 : ดอกเบี้ยทบต้นค้างรับ - เงินกู้ประกันชีวิต</t>
    </r>
  </si>
  <si>
    <r>
      <rPr>
        <rFont val="Arial"/>
        <sz val="11.0"/>
      </rPr>
      <t xml:space="preserve">1. Log in เข้าระบบ NBS : </t>
    </r>
    <r>
      <rPr>
        <rFont val="Arial"/>
        <color rgb="FFFF00FF"/>
        <sz val="11.0"/>
      </rPr>
      <t>acc1</t>
    </r>
    <r>
      <rPr>
        <rFont val="Arial"/>
        <sz val="11.0"/>
      </rPr>
      <t xml:space="preserve">
2. เลือกเมนู : ระบบงาน Back Office
&gt; ระบบ Enterprise Data Warehouse
&gt; ระบบ Enterprise Data Warehouse
3. เลือกเมนู : Reconcile Data
&gt; ปรับปรุงรายการทางบัญชี
  -&gt; ระบุเงื่อนไขการประมวลผล
  -&gt; กดปุ่ม ประมวลผล</t>
    </r>
    <r>
      <rPr>
        <rFont val="Arial"/>
        <color rgb="FFFF00FF"/>
        <sz val="11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</si>
  <si>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แสดงข้อมูล </t>
    </r>
    <r>
      <rPr>
        <rFont val="Arial"/>
        <color rgb="FFC27BA0"/>
        <sz val="10.0"/>
      </rPr>
      <t>บัญชี</t>
    </r>
    <r>
      <rPr>
        <rFont val="Arial"/>
        <sz val="10.0"/>
      </rPr>
      <t xml:space="preserve"> และดึงข้อมูล GL Code มาแสดงครบถ้วนถูกต้อง
- 14522111 : ดอกเบี้ยค้างรับ - เงินกู้ประกันชีวิต
- 14522112 : ดอกเบี้ยค้างรับ - เงินกู้ประกันชีวิตอัตโนมัติ
- 14522113 : ดอกเบี้ยทบต้นค้างรับ - เงินกู้ประกันชีวิตอัตโนมัติ
- 14522114 : ดอกเบี้ยทบต้นค้างรับ - เงินกู้ประกันชีวิต</t>
    </r>
  </si>
  <si>
    <t>TC-R14-02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</si>
  <si>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R14ACC 
</t>
    </r>
    <r>
      <rPr>
        <rFont val="Arial"/>
        <sz val="10.0"/>
      </rPr>
      <t>กรณี GL Code เท่ากับ 14522111 , 14522112  , 14522113 , 14522114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</si>
  <si>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</t>
    </r>
    <r>
      <rPr>
        <rFont val="Arial"/>
        <sz val="10.0"/>
      </rPr>
      <t xml:space="preserve">
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แสดงเป็นค่าว่าง</t>
    </r>
  </si>
  <si>
    <t>TC-R14-03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</si>
  <si>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แสดงเป็นค่าว่าง
</t>
    </r>
  </si>
  <si>
    <t>TC-R14-04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</si>
  <si>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R14ACC 
</t>
    </r>
    <r>
      <rPr>
        <rFont val="Arial"/>
        <sz val="10.0"/>
      </rPr>
      <t>กรณี GL Code เท่ากับ 14522111 , 14522112  , 14522113 , 14522114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</si>
  <si>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แสดงเป็นค่าว่าง
</t>
    </r>
  </si>
  <si>
    <t>TC-R14-05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</si>
  <si>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แสดงเป็นค่าว่าง
</t>
    </r>
  </si>
  <si>
    <t>TC-R14-06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</si>
  <si>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R14ACC 
</t>
    </r>
    <r>
      <rPr>
        <rFont val="Arial"/>
        <sz val="10.0"/>
      </rPr>
      <t xml:space="preserve">กรณี GL Code </t>
    </r>
    <r>
      <rPr>
        <rFont val="Arial"/>
        <color rgb="FFFF9900"/>
        <sz val="10.0"/>
      </rPr>
      <t>ไม่</t>
    </r>
    <r>
      <rPr>
        <rFont val="Arial"/>
        <sz val="10.0"/>
      </rPr>
      <t>เท่ากับ 14522111 , 14522112  , 14522113 , 14522114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</si>
  <si>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</t>
    </r>
    <r>
      <rPr>
        <rFont val="Arial"/>
        <sz val="10.0"/>
      </rPr>
      <t xml:space="preserve">
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สามารถ Mapping ค่ามาแสดงได้ไม่เป็นค่าว่าง</t>
    </r>
  </si>
  <si>
    <t>TC-R14-07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</si>
  <si>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Disclosure Type</t>
    </r>
    <r>
      <rPr>
        <rFont val="Arial"/>
        <sz val="10.0"/>
      </rPr>
      <t xml:space="preserve"> สามารถ Mapping ค่ามาแสดงได้ไม่เป็นค่าว่าง
</t>
    </r>
  </si>
  <si>
    <t>TC-R14-08</t>
  </si>
  <si>
    <r>
      <rPr>
        <rFont val="Arial"/>
        <sz val="10.0"/>
      </rPr>
      <t xml:space="preserve">ตรวจสอบการแสดง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R14ACC 
</t>
    </r>
    <r>
      <rPr>
        <rFont val="Arial"/>
        <sz val="10.0"/>
      </rPr>
      <t xml:space="preserve">กรณี GL Code </t>
    </r>
    <r>
      <rPr>
        <rFont val="Arial"/>
        <color rgb="FFFF9900"/>
        <sz val="10.0"/>
      </rPr>
      <t>ไม่</t>
    </r>
    <r>
      <rPr>
        <rFont val="Arial"/>
        <sz val="10.0"/>
      </rPr>
      <t>เท่ากับ 14522111 , 14522112  , 14522113 , 14522114</t>
    </r>
    <r>
      <rPr>
        <rFont val="Arial"/>
        <color rgb="FFC27BA0"/>
        <sz val="10.0"/>
      </rPr>
      <t xml:space="preserve">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</si>
  <si>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Reconcile Actual DATA 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สามารถ Mapping ค่ามาแสดงได้ไม่เป็นค่าว่าง
</t>
    </r>
  </si>
  <si>
    <t>TC-R14-09</t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</si>
  <si>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แสดง </t>
    </r>
    <r>
      <rPr>
        <rFont val="Arial"/>
        <color rgb="FFC27BA0"/>
        <sz val="10.0"/>
      </rPr>
      <t>Plan Code</t>
    </r>
    <r>
      <rPr>
        <rFont val="Arial"/>
        <sz val="10.0"/>
      </rPr>
      <t xml:space="preserve"> สามารถ Mapping ค่ามาแสดงได้ไม่เป็นค่าว่าง
</t>
    </r>
  </si>
  <si>
    <t>TC-R14-10</t>
  </si>
  <si>
    <r>
      <rPr>
        <rFont val="Arial"/>
        <sz val="10.0"/>
      </rPr>
      <t xml:space="preserve">ตรวจสอบการ </t>
    </r>
    <r>
      <rPr>
        <rFont val="Arial"/>
        <color rgb="FFC27BA0"/>
        <sz val="10.0"/>
      </rPr>
      <t xml:space="preserve">Summary Adj.Posting </t>
    </r>
    <r>
      <rPr>
        <rFont val="Arial"/>
        <sz val="10.0"/>
      </rPr>
      <t xml:space="preserve">ของรายงาน </t>
    </r>
    <r>
      <rPr>
        <rFont val="Arial"/>
        <color rgb="FFC27BA0"/>
        <sz val="10.0"/>
      </rPr>
      <t xml:space="preserve">R14ACC 
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</si>
  <si>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R14ACC </t>
    </r>
    <r>
      <rPr>
        <rFont val="Arial"/>
        <sz val="10.0"/>
      </rPr>
      <t xml:space="preserve">: </t>
    </r>
    <r>
      <rPr>
        <rFont val="Arial"/>
        <color rgb="FF9900FF"/>
        <sz val="10.0"/>
      </rPr>
      <t xml:space="preserve">Sheet  Adjustment Posting
</t>
    </r>
    <r>
      <rPr>
        <rFont val="Arial"/>
        <sz val="10.0"/>
      </rPr>
      <t xml:space="preserve">-  Summary Adj.Posting ให้รวม Adj.Posting ของ GL Code ที่เพิ่มใหม่  14522111 , 14522112  , 14522113 , 14522114
</t>
    </r>
  </si>
  <si>
    <t>TC-R14-11</t>
  </si>
  <si>
    <r>
      <rPr>
        <rFont val="Arial"/>
        <sz val="10.0"/>
      </rPr>
      <t xml:space="preserve">ตรวจสอบ Reconcile รายงาน </t>
    </r>
    <r>
      <rPr>
        <rFont val="Arial"/>
        <color rgb="FFC27BA0"/>
        <sz val="10.0"/>
      </rPr>
      <t xml:space="preserve">OnePageSummary R14ACC </t>
    </r>
    <r>
      <rPr>
        <rFont val="Arial"/>
        <sz val="10.0"/>
      </rPr>
      <t>(ฝ่ายบัญชี) กับ รายงาน</t>
    </r>
    <r>
      <rPr>
        <rFont val="Arial"/>
        <color rgb="FFC27BA0"/>
        <sz val="10.0"/>
      </rPr>
      <t xml:space="preserve"> OnePageSummary R014 </t>
    </r>
    <r>
      <rPr>
        <rFont val="Arial"/>
        <sz val="10.0"/>
      </rPr>
      <t>(ฝ่ายคณิตศาสตร์)</t>
    </r>
  </si>
  <si>
    <r>
      <rPr>
        <rFont val="Arial"/>
        <sz val="10.0"/>
      </rPr>
      <t xml:space="preserve">1. สามารถ Reconcile รายงาน </t>
    </r>
    <r>
      <rPr>
        <rFont val="Arial"/>
        <color rgb="FFC27BA0"/>
        <sz val="10.0"/>
      </rPr>
      <t xml:space="preserve">OnePageSummary R14ACC </t>
    </r>
    <r>
      <rPr>
        <rFont val="Arial"/>
        <sz val="10.0"/>
      </rPr>
      <t xml:space="preserve">(ฝ่ายบัญชี) กับ </t>
    </r>
    <r>
      <rPr>
        <rFont val="Arial"/>
        <color rgb="FFC27BA0"/>
        <sz val="10.0"/>
      </rPr>
      <t xml:space="preserve">OnePageSummary R14 </t>
    </r>
    <r>
      <rPr>
        <rFont val="Arial"/>
        <sz val="10.0"/>
      </rPr>
      <t>(ฝ่ายคณิตศาสตร์) และ Free Template ได้จำนวนเงินเท่ากัน</t>
    </r>
  </si>
  <si>
    <t>รายงาน R14 (ฝ่ายคณิตศาสตร์)</t>
  </si>
  <si>
    <t>TC-R14-12</t>
  </si>
  <si>
    <r>
      <rPr>
        <rFont val="Arial"/>
        <sz val="10.0"/>
      </rPr>
      <t xml:space="preserve">ตรวจสอบ </t>
    </r>
    <r>
      <rPr>
        <rFont val="Arial"/>
        <color rgb="FFC27BA0"/>
        <sz val="10.0"/>
      </rPr>
      <t>การดึงข้อมูล GL Code</t>
    </r>
    <r>
      <rPr>
        <rFont val="Arial"/>
        <sz val="10.0"/>
      </rPr>
      <t xml:space="preserve"> ของรายงาน </t>
    </r>
    <r>
      <rPr>
        <rFont val="Arial"/>
        <color rgb="FFC27BA0"/>
        <sz val="10.0"/>
      </rPr>
      <t xml:space="preserve">R14
</t>
    </r>
    <r>
      <rPr>
        <rFont val="Arial"/>
        <sz val="10.0"/>
      </rPr>
      <t>- 14522111 : ดอกเบี้ยค้างรับ - เงินกู้ประกันชีวิต
- 14522112 : ดอกเบี้ยค้างรับ - เงินกู้ประกันชีวิตอัตโนมัติ
- 14522113 : ดอกเบี้ยทบต้นค้างรับ - เงินกู้ประกันชีวิตอัตโนมัติ
- 14522114 : ดอกเบี้ยทบต้นค้างรับ - เงินกู้ประกันชีวิต</t>
    </r>
  </si>
  <si>
    <r>
      <rPr>
        <rFont val="Arial"/>
        <sz val="10.0"/>
      </rPr>
      <t xml:space="preserve">1. รายงาน </t>
    </r>
    <r>
      <rPr>
        <rFont val="Arial"/>
        <color rgb="FFC27BA0"/>
        <sz val="10.0"/>
      </rPr>
      <t xml:space="preserve">R14 </t>
    </r>
    <r>
      <rPr>
        <rFont val="Arial"/>
        <sz val="10.0"/>
      </rPr>
      <t>: ไม่แสดงข้อมูลข้อมูล GL Code ที่เพิ่มขึ้นมาใหม่
- 14522111 : ดอกเบี้ยค้างรับ - เงินกู้ประกันชีวิต
- 14522112 : ดอกเบี้ยค้างรับ - เงินกู้ประกันชีวิตอัตโนมัติ
- 14522113 : ดอกเบี้ยทบต้นค้างรับ - เงินกู้ประกันชีวิตอัตโนมัติ
- 14522114 : ดอกเบี้ยทบต้นค้างรับ - เงินกู้ประกันชีวิต</t>
    </r>
  </si>
  <si>
    <t>Redmine: Tracker "Defect"</t>
  </si>
  <si>
    <r>
      <rPr>
        <rFont val="Arial"/>
        <color rgb="FFCCCCCC"/>
        <sz val="10.0"/>
      </rPr>
      <t xml:space="preserve">ตัวอย่างการระบุเงื่อนไข Where ใน Column C2 
- กรณีต้องการหลายค่า ให้ใช้คำสั่ง matches เช่น </t>
    </r>
    <r>
      <rPr>
        <rFont val="Arial"/>
        <b/>
        <color rgb="FFFFF2CC"/>
        <sz val="10.0"/>
      </rPr>
      <t xml:space="preserve"> </t>
    </r>
    <r>
      <rPr>
        <rFont val="Arial"/>
        <b/>
        <color rgb="FFFFE599"/>
        <sz val="10.0"/>
      </rPr>
      <t xml:space="preserve">tracker matches 'Defect|Task'   </t>
    </r>
    <r>
      <rPr>
        <rFont val="Arial"/>
        <b/>
        <color rgb="FFCCCCCC"/>
        <sz val="10.0"/>
      </rPr>
      <t xml:space="preserve">
</t>
    </r>
    <r>
      <rPr>
        <rFont val="Arial"/>
        <color rgb="FFCCCCCC"/>
        <sz val="10.0"/>
      </rPr>
      <t xml:space="preserve">- กรณีต้องการหลาย UR หรือ หลายโครงการ ใช้คำสั่ง เช่น ตัวอย่างทำ 4 UR พร้อมๆกัน
</t>
    </r>
    <r>
      <rPr>
        <rFont val="Arial"/>
        <b/>
        <color rgb="FFFFFF00"/>
        <sz val="10.0"/>
      </rPr>
      <t xml:space="preserve"> </t>
    </r>
    <r>
      <rPr>
        <rFont val="Arial"/>
        <b/>
        <color rgb="FFFFE599"/>
        <sz val="10.0"/>
      </rPr>
      <t>project matches '.*UR 20250098.*|.*UR 20250127.*|.*UR 20250137.*|.*UR 20250096.*'</t>
    </r>
  </si>
  <si>
    <t>เงื่อนไขการดึงข้อมูล Redmine</t>
  </si>
  <si>
    <t>where tracker = 'Defect' and phase='SIT' and project ='UR 20260041 - R13 Expense allocation Improvement'</t>
  </si>
  <si>
    <t>id</t>
  </si>
  <si>
    <t>project</t>
  </si>
  <si>
    <t>tracker</t>
  </si>
  <si>
    <t>status</t>
  </si>
  <si>
    <t>priority</t>
  </si>
  <si>
    <t>author</t>
  </si>
  <si>
    <t>assigned_to</t>
  </si>
  <si>
    <t>parent</t>
  </si>
  <si>
    <t>subject</t>
  </si>
  <si>
    <t>description</t>
  </si>
  <si>
    <t>start_date</t>
  </si>
  <si>
    <t>due_date</t>
  </si>
  <si>
    <t>done_ratio</t>
  </si>
  <si>
    <t>is_private</t>
  </si>
  <si>
    <t>estimated_hours</t>
  </si>
  <si>
    <t>total_estimated_hours</t>
  </si>
  <si>
    <t>spent_hours</t>
  </si>
  <si>
    <t>total_spent_hours</t>
  </si>
  <si>
    <t>created_on</t>
  </si>
  <si>
    <t>updated_on</t>
  </si>
  <si>
    <t>closed_on</t>
  </si>
  <si>
    <t>root_cause</t>
  </si>
  <si>
    <t>application</t>
  </si>
  <si>
    <t>screen</t>
  </si>
  <si>
    <t>phase</t>
  </si>
  <si>
    <t>Test Status Description</t>
  </si>
  <si>
    <t>Issue Status</t>
  </si>
  <si>
    <t>Yes/No</t>
  </si>
  <si>
    <t>Root Cause Issue Type</t>
  </si>
  <si>
    <t>Holiday</t>
  </si>
  <si>
    <t>Holiday Description</t>
  </si>
  <si>
    <t>Test Case Type Definition</t>
  </si>
  <si>
    <t>Not Ready for Test = ส่วนที่ไม่พร้อมทดสอบ</t>
  </si>
  <si>
    <t>วันขึ้ึ้นปีใหม่</t>
  </si>
  <si>
    <r>
      <rPr>
        <rFont val="Arial"/>
        <b/>
        <color rgb="FF1F1F1F"/>
        <sz val="10.0"/>
      </rPr>
      <t xml:space="preserve">"หัวใจของระบบต้องรอด": </t>
    </r>
    <r>
      <rPr>
        <rFont val="Arial"/>
        <color rgb="FF1F1F1F"/>
        <sz val="10.0"/>
      </rPr>
      <t>ยืนยันว่าฟังก์ชันหลัก (Happy Path), ความปลอดภัย (Security), การเชื่อมต่อ (Integration) และสูตรคำนวณทางธุรกิจ (Business Logic) ของฟีเจอร์สำคัญที่สุดทำงานถูกต้อง 100%</t>
    </r>
  </si>
  <si>
    <t>การทำงานหลักตามขั้นตอนปกติที่ผู้ใช้ต้องทำให้สำเร็จ</t>
  </si>
  <si>
    <t>Not Start = ยังไม่เริ่มทดสอบ</t>
  </si>
  <si>
    <t>No</t>
  </si>
  <si>
    <t>Change Request</t>
  </si>
  <si>
    <t>ชดเชยวันสิ้นปี (วันอาทิตย์ที่ 31 ธันวาคม 2566)</t>
  </si>
  <si>
    <r>
      <rPr>
        <rFont val="Arial"/>
        <b/>
        <color rgb="FF1F1F1F"/>
        <sz val="10.0"/>
      </rPr>
      <t xml:space="preserve">"ฟีเจอร์หลักต้องแม่นยำและเสถียร": </t>
    </r>
    <r>
      <rPr>
        <rFont val="Arial"/>
        <color rgb="FF1F1F1F"/>
        <sz val="10.0"/>
      </rPr>
      <t>ตรวจสอบการจัดการเมื่อเกิดข้อผิดพลาด (Negative Test), รูปแบบข้อมูล (Input Validation), ความเร็ว (Performance) และการรองรับผู้ใช้ (Load) ของฟีเจอร์หลัก</t>
    </r>
  </si>
  <si>
    <t>Security</t>
  </si>
  <si>
    <t>การตรวจสอบสิทธิ์เข้าใช้งานและความปลอดภัยของข้อมูล</t>
  </si>
  <si>
    <t>UAT</t>
  </si>
  <si>
    <t>In Progress = อยู่ระหว่างการทดสอบ</t>
  </si>
  <si>
    <t>ชดเชยวันมาฆบูชา (วันเสาร์ที่ 24 กุมภาพันธ์ 2567)</t>
  </si>
  <si>
    <r>
      <rPr>
        <rFont val="Arial"/>
        <b/>
        <color rgb="FF1F1F1F"/>
        <sz val="10.0"/>
      </rPr>
      <t xml:space="preserve">"ระบบเสริมพื้นฐานต้องผ่าน": </t>
    </r>
    <r>
      <rPr>
        <rFont val="Arial"/>
        <color rgb="FF1F1F1F"/>
        <sz val="10.0"/>
      </rPr>
      <t>ตรวจสอบการทำงานหลักตามขั้นตอนปกติ (Happy Path) และความปลอดภัยของฟีเจอร์สนับสนุนที่สำคัญ เพื่อให้มั่นใจว่าทำงานร่วมกับระบบหลักได้</t>
    </r>
  </si>
  <si>
    <t>Integration</t>
  </si>
  <si>
    <t>การเชื่อมต่อรับส่งข้อมูลระหว่างระบบหรือ API</t>
  </si>
  <si>
    <t>Go-live</t>
  </si>
  <si>
    <t>Pending = ไม่สามารถทดสอบต่อได้</t>
  </si>
  <si>
    <t>Completed</t>
  </si>
  <si>
    <t>Bug</t>
  </si>
  <si>
    <t>ชดเชยวันพระบาทสมเด็จพระพุทธยอดฟ้าจุฬาโลกมหาราช และวันที่ระลึกมหาจักรีบรมราชวงศ์ (วันเสาร์ที่ 6 เมษายน 2567)</t>
  </si>
  <si>
    <r>
      <rPr>
        <rFont val="Arial"/>
        <b/>
        <color rgb="FF1F1F1F"/>
        <sz val="10.0"/>
      </rPr>
      <t xml:space="preserve">"ระบบเสริมต้องเสถียร": </t>
    </r>
    <r>
      <rPr>
        <rFont val="Arial"/>
        <color rgb="FF1F1F1F"/>
        <sz val="10.0"/>
      </rPr>
      <t>ทดสอบการดักจับข้อผิดพลาด (Negative) และความถูกต้องของข้อมูล (Input Validation) ในฟีเจอร์สนับสนุน เพื่อลดความเสี่ยงของข้อมูลผิดเพี้ยน</t>
    </r>
  </si>
  <si>
    <t>Business Logic</t>
  </si>
  <si>
    <t>การคำนวณและเงื่อนไขตามกฎธุรกิจ (เช่น สูตรภาษี, ส่วนลด)</t>
  </si>
  <si>
    <t>Failed = ผลการทดสอบไม่ผ่าน</t>
  </si>
  <si>
    <t>Deferred</t>
  </si>
  <si>
    <t>วันสงกรานต์</t>
  </si>
  <si>
    <r>
      <rPr>
        <rFont val="Arial"/>
        <b/>
        <color rgb="FF1F1F1F"/>
        <sz val="10.0"/>
      </rPr>
      <t xml:space="preserve">"ความสวยงามของระบบหลัก": </t>
    </r>
    <r>
      <rPr>
        <rFont val="Arial"/>
        <color rgb="FF1F1F1F"/>
        <sz val="10.0"/>
      </rPr>
      <t>ตรวจสอบ UI/UX และการแสดงผลตามอุปกรณ์ (Compatibility) ของฟีเจอร์ที่คนใช้งานบ่อย เพื่อสร้างประสบการณ์ที่ดีแก่ผู้ใช้</t>
    </r>
  </si>
  <si>
    <t>Negative Test</t>
  </si>
  <si>
    <t>การจัดการของระบบเมื่อเกิดข้อผิดพลาด (เช่น ใส่ข้อมูลผิดแล้วระบบต้องไม่ค้าง)</t>
  </si>
  <si>
    <t>Passed with Condition = ผลการทดสอบผ่านแบบมีเงื่อนไข</t>
  </si>
  <si>
    <t>ชดเชยวันสงกรานต์ (วันเสาร์ที่ 13 เมษายน 2567 และ วันอาทิตย์ที่ 14 เมษายน 2567)</t>
  </si>
  <si>
    <r>
      <rPr>
        <rFont val="Arial"/>
        <b/>
        <color rgb="FF1F1F1F"/>
        <sz val="10.0"/>
      </rPr>
      <t>"ความสมบูรณ์ของระบบเสริม":</t>
    </r>
    <r>
      <rPr>
        <rFont val="Arial"/>
        <color rgb="FF1F1F1F"/>
        <sz val="10.0"/>
      </rPr>
      <t xml:space="preserve"> ตรวจสอบความถูกต้องของการจัดวางหน้าจอและภาษา (Localization) ของฟีเจอร์สนับสนุน</t>
    </r>
  </si>
  <si>
    <t>Input Validation</t>
  </si>
  <si>
    <t>การตรวจสอบรูปแบบข้อมูลพื้นฐาน (เช่น รูปแบบ Email, เบอร์โทร)</t>
  </si>
  <si>
    <t>Passed = ผลการทดสอบผ่าน</t>
  </si>
  <si>
    <t>วันแรงงานแห่งชาติ</t>
  </si>
  <si>
    <r>
      <rPr>
        <rFont val="Arial"/>
        <b/>
        <color rgb="FF1F1F1F"/>
        <sz val="10.0"/>
      </rPr>
      <t xml:space="preserve">"ฟังก์ชันเสริมทำงานถูกต้อง": </t>
    </r>
    <r>
      <rPr>
        <rFont val="Arial"/>
        <color rgb="FF1F1F1F"/>
        <sz val="10.0"/>
      </rPr>
      <t>ตรวจสอบการทำงานเบื้องต้นของฟีเจอร์ส่วนเสริมที่มีคนใช้งานน้อย</t>
    </r>
  </si>
  <si>
    <t>Performance</t>
  </si>
  <si>
    <t>ความเร็วในการโหลดหน้าจอทั่วไป (Response Time) ต้องไม่ช้าเกินไปจนผู้ใช้เลิกใช้</t>
  </si>
  <si>
    <t>Cancelled = ยกเลิกการทดสอบ</t>
  </si>
  <si>
    <t>ชดเชยวันฉัตรมงคล (วันเสาร์ที่ 4 พฤษภาคม 2567)</t>
  </si>
  <si>
    <r>
      <rPr>
        <rFont val="Arial"/>
        <b/>
        <color rgb="FF1F1F1F"/>
        <sz val="10.0"/>
      </rPr>
      <t xml:space="preserve">"ความเสถียรของฟังก์ชันเสริม": </t>
    </r>
    <r>
      <rPr>
        <rFont val="Arial"/>
        <color rgb="FF1F1F1F"/>
        <sz val="10.0"/>
      </rPr>
      <t>เก็บเคส Negative และ Validation ของฟีเจอร์ส่วนเสริมตามเวลาที่เหลือ</t>
    </r>
  </si>
  <si>
    <t>Load</t>
  </si>
  <si>
    <t>ระบบรองรับคนจำนวนมากเข้าใช้งานพร้อมกัน</t>
  </si>
  <si>
    <t>UI/UX</t>
  </si>
  <si>
    <t>วันวิสาขบูชา</t>
  </si>
  <si>
    <r>
      <rPr>
        <rFont val="Arial"/>
        <b/>
        <color rgb="FF1F1F1F"/>
        <sz val="10.0"/>
      </rPr>
      <t xml:space="preserve">"เก็บรายละเอียดส่วนสุดท้าย": </t>
    </r>
    <r>
      <rPr>
        <rFont val="Arial"/>
        <color rgb="FF1F1F1F"/>
        <sz val="10.0"/>
      </rPr>
      <t>ตรวจสอบ UI/UX ของฟีเจอร์ส่วนเสริมเพื่อความเป๊ะของระบบในภาพรวม</t>
    </r>
  </si>
  <si>
    <t>ความถูกต้องของการจัดวางหน้าจอ สี ฟอนต์ และความง่ายในการใช้งาน</t>
  </si>
  <si>
    <t>Question</t>
  </si>
  <si>
    <t>วันเฉลิมพระชนมพรรษา สมเด็จพระนางเจ้าสุทิดา พัชรสุธาพิมลลักษณ พระบรมราชินี</t>
  </si>
  <si>
    <t>Compatibility</t>
  </si>
  <si>
    <t>Compatibility: การแสดงผลตามอุปกรณ์</t>
  </si>
  <si>
    <t>Incorrect Test Data</t>
  </si>
  <si>
    <t>ชดเชยวันอาสาฬหบูชา (วันเสาร์ที่ 20 กรกฎาคม 2567)</t>
  </si>
  <si>
    <t>ชดเชยวันเฉลิมพระชนมพรรษา พระบาทสมเด็จพระเจ้าอยู่หัว (วันอาทิตย์ที่ 28 กรกฎาคม 2567)</t>
  </si>
  <si>
    <t>วันเฉลิมพระชนมพรรษา สมเด็จพระนางเจ้าสิริกิติ์ พระบรมราชินีนาถ พระบรมราชชนนีพันปีหลวง และวันแม่แห่งชาติ</t>
  </si>
  <si>
    <t>ชดเชยวันคล้ายวันสวรรคต พระบาทสมเด็จพระบรมชนกาธิเบศร มหาภูมิพลอดุลยเดชมหาราช บรมนาถบพิตร (วันอาทิตย์ที่ 13 ตุลาคม 2567)</t>
  </si>
  <si>
    <t>วันปิยมหาราช</t>
  </si>
  <si>
    <t>วันคล้ายวันพระบรมราชสมภพ พระบาทสมเด็จพระบรมชนกาธิเบศร มหาภูมิพลอดุลยเดชมหาราช บรมนาถบพิตร วันชาติ และวันพ่อแห่งชาติ</t>
  </si>
  <si>
    <t>วันรัฐธรรมนูญ</t>
  </si>
  <si>
    <t>วันสิ้นปี</t>
  </si>
  <si>
    <t>วันขึ้นปีใหม่</t>
  </si>
  <si>
    <t>วันมาฆบูชา</t>
  </si>
  <si>
    <t>วันพระบาทสมเด็จพระพุทธยอดฟ้าจุฬาโลกมหาราช และ วันที่ระลึกมหาจักรีบรมราชวงศ์</t>
  </si>
  <si>
    <t>วันฉัตรมงคล</t>
  </si>
  <si>
    <t>วันหยุดพิเศษ</t>
  </si>
  <si>
    <t>วันอาสาฬหบูชา</t>
  </si>
  <si>
    <t>วันเฉลิมพระชนมพรรษา สมเด็จพระเจ้าอยู่หัวมหาวชิราลงกรณ บดินทรเทพยวรางกูร</t>
  </si>
  <si>
    <t>วันเฉลิมพระชนมพรรษา สมเด็จพระนางเจ้าฯ พระบรมราชินีนาถ ในพระบาทสมเด็จพระปรมินทรมหาภูมิพลอดุลยเดช บรมนาถบพิตร</t>
  </si>
  <si>
    <t>วันคล้ายวันสวรรคต พระบาทสมเด็จพระปรมินทรมหาภูมิพลอดุลยเดช บรมนาถบพิตร</t>
  </si>
  <si>
    <t>วันคล้ายวันเฉลิมพระชนมพรรษา พระบาทสมเด็จพระปรมินทรมหาภูมิพลอดุลยเดช บรมนาถบพิตร วันชาติ และวันพ่อแห่งชาติ</t>
  </si>
  <si>
    <t>วันพระราชทานรัฐธรรมนูญ</t>
  </si>
  <si>
    <t>วันหยุดทำการเพิ่มเป็นกรณีพิเศษ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</si>
</sst>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\-mm\-dd"/>
    <numFmt numFmtId="165" formatCode="0.0"/>
    <numFmt numFmtId="166" formatCode="yyyy&quot;-&quot;mm&quot;-&quot;dd"/>
    <numFmt numFmtId="167" formatCode="yyyy-mm-dd"/>
    <numFmt numFmtId="168" formatCode="_-* #,##0.00_-;\-* #,##0.00_-;_-* \-??_-;_-@"/>
    <numFmt numFmtId="169" formatCode="[$-1070409]d/mm/yyyy\ h:mm\ AM/PM"/>
  </numFmts>
  <fonts count="46">
    <font>
      <sz val="11.0"/>
      <color rgb="FF000000"/>
      <name val="Tahoma"/>
    </font>
    <font>
      <b/>
      <sz val="10.0"/>
      <name val="Arial"/>
    </font>
    <font>
      <sz val="10.0"/>
      <name val="Arial"/>
    </font>
    <font>
      <b/>
      <sz val="10.0"/>
      <color rgb="FF000000"/>
      <name val="Arial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000000"/>
      <name val="Arial"/>
    </font>
    <font>
      <sz val="10.0"/>
      <color rgb="FF0000FF"/>
      <name val="Arial"/>
    </font>
    <font/>
    <font>
      <b/>
      <sz val="10.0"/>
      <color rgb="FFFF0000"/>
      <name val="Arial"/>
    </font>
    <font>
      <b/>
      <sz val="10.0"/>
      <color rgb="FF999999"/>
      <name val="Arial"/>
    </font>
    <font>
      <sz val="10.0"/>
      <color rgb="FF999999"/>
      <name val="Arial"/>
    </font>
    <font>
      <u/>
      <sz val="10.0"/>
      <color rgb="FF0000FF"/>
      <name val="Arial"/>
    </font>
    <font>
      <sz val="10.0"/>
      <name val="Tahoma"/>
    </font>
    <font>
      <sz val="10.0"/>
      <color rgb="FF333333"/>
      <name val="Arial"/>
    </font>
    <font>
      <u/>
      <sz val="10.0"/>
      <color rgb="FF0000FF"/>
      <name val="Arial"/>
    </font>
    <font>
      <sz val="10.0"/>
      <color rgb="FF444444"/>
      <name val="Arial"/>
    </font>
    <font>
      <b/>
      <sz val="10.0"/>
      <color rgb="FF1F1F1F"/>
      <name val="Arial"/>
    </font>
    <font>
      <sz val="10.0"/>
      <color rgb="FF1F1F1F"/>
      <name val="Arial"/>
    </font>
    <font>
      <b/>
      <sz val="10.0"/>
      <color rgb="FF333333"/>
      <name val="Arial"/>
    </font>
    <font>
      <u/>
      <sz val="10.0"/>
      <color rgb="FF0000FF"/>
      <name val="Arial"/>
    </font>
    <font>
      <u/>
      <sz val="10.0"/>
      <color rgb="FF326CA6"/>
      <name val="Arial"/>
    </font>
    <font>
      <u/>
      <sz val="10.0"/>
      <color rgb="FF326CA6"/>
      <name val="Arial"/>
    </font>
    <font>
      <u/>
      <sz val="10.0"/>
      <color rgb="FF333333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333333"/>
      <name val="Arial"/>
    </font>
    <font>
      <u/>
      <sz val="10.0"/>
      <color rgb="FF1155CC"/>
      <name val="Arial"/>
    </font>
    <font>
      <u/>
      <sz val="10.0"/>
      <color rgb="FF1155CC"/>
      <name val="Arial"/>
    </font>
    <font>
      <u/>
      <sz val="10.0"/>
      <color rgb="FF0000FF"/>
      <name val="Arial"/>
    </font>
    <font>
      <u/>
      <sz val="10.0"/>
      <color rgb="FF1155CC"/>
      <name val="Arial"/>
    </font>
    <font>
      <b/>
      <u/>
      <sz val="10.0"/>
      <color rgb="FF999999"/>
      <name val="Arial"/>
    </font>
    <font>
      <b/>
      <u/>
      <sz val="10.0"/>
      <color rgb="FF0000FF"/>
      <name val="Arial"/>
    </font>
    <font>
      <b/>
      <sz val="10.0"/>
      <color rgb="FF1155CC"/>
      <name val="Arial"/>
    </font>
    <font>
      <sz val="11.0"/>
      <name val="Arial"/>
    </font>
    <font>
      <color rgb="FF000000"/>
    </font>
    <font>
      <u/>
      <sz val="10.0"/>
      <color rgb="FF000000"/>
      <name val="Arial"/>
    </font>
    <font>
      <sz val="10.0"/>
      <color rgb="FF9900FF"/>
      <name val="Arial"/>
    </font>
    <font>
      <sz val="11.0"/>
      <name val="Calibri"/>
    </font>
    <font>
      <name val="Arial"/>
    </font>
    <font>
      <sz val="11.0"/>
      <name val="Tahoma"/>
    </font>
    <font>
      <color rgb="FF000000"/>
      <name val="Arial"/>
    </font>
    <font>
      <sz val="10.0"/>
      <color rgb="FFCCCCCC"/>
      <name val="Arial"/>
    </font>
    <font>
      <b/>
      <u/>
      <sz val="10.0"/>
      <color rgb="FF0000FF"/>
      <name val="Arial"/>
    </font>
    <font>
      <sz val="10.0"/>
    </font>
  </fonts>
  <fills count="18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254061"/>
        <bgColor rgb="FF254061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CFE2F3"/>
        <bgColor rgb="FFCFE2F3"/>
      </patternFill>
    </fill>
    <fill>
      <patternFill patternType="solid">
        <fgColor rgb="FF6D9EEB"/>
        <bgColor rgb="FF6D9EEB"/>
      </patternFill>
    </fill>
    <fill>
      <patternFill patternType="solid">
        <fgColor rgb="FFDCE6F2"/>
        <bgColor rgb="FFDCE6F2"/>
      </patternFill>
    </fill>
    <fill>
      <patternFill patternType="solid">
        <fgColor rgb="FFFFFF00"/>
        <bgColor rgb="FFFFFF00"/>
      </patternFill>
    </fill>
    <fill>
      <patternFill patternType="solid">
        <fgColor rgb="FFFFF2CC"/>
        <bgColor rgb="FFFFF2CC"/>
      </patternFill>
    </fill>
    <fill>
      <patternFill patternType="solid">
        <fgColor rgb="FFDEEAF6"/>
        <bgColor rgb="FFDEEAF6"/>
      </patternFill>
    </fill>
    <fill>
      <patternFill patternType="solid">
        <fgColor rgb="FFEFEFEF"/>
        <bgColor rgb="FFEFEFEF"/>
      </patternFill>
    </fill>
    <fill>
      <patternFill patternType="solid">
        <fgColor rgb="FF222A35"/>
        <bgColor rgb="FF222A35"/>
      </patternFill>
    </fill>
    <fill>
      <patternFill patternType="solid">
        <fgColor rgb="FFEAD1DC"/>
        <bgColor rgb="FFEAD1DC"/>
      </patternFill>
    </fill>
    <fill>
      <patternFill patternType="solid">
        <fgColor rgb="FFB4A7D6"/>
        <bgColor rgb="FFB4A7D6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/>
      <top/>
      <bottom/>
    </border>
    <border>
      <right/>
    </border>
    <border>
      <left/>
      <top/>
    </border>
    <border>
      <top/>
    </border>
  </borders>
  <cellStyleXfs count="1">
    <xf borderId="0" fillId="0" fontId="0" numFmtId="0" applyAlignment="1" applyFont="1"/>
  </cellStyleXfs>
  <cellXfs count="3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vertical="top"/>
    </xf>
    <xf borderId="0" fillId="0" fontId="2" numFmtId="0" xfId="0" applyAlignment="1" applyFont="1">
      <alignment vertical="top"/>
    </xf>
    <xf borderId="1" fillId="2" fontId="1" numFmtId="164" xfId="0" applyAlignment="1" applyBorder="1" applyFill="1" applyFont="1" applyNumberFormat="1">
      <alignment horizontal="center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0" fontId="2" numFmtId="165" xfId="0" applyAlignment="1" applyBorder="1" applyFont="1" applyNumberFormat="1">
      <alignment horizontal="center" vertical="top"/>
    </xf>
    <xf borderId="1" fillId="0" fontId="2" numFmtId="0" xfId="0" applyAlignment="1" applyBorder="1" applyFont="1">
      <alignment vertical="top"/>
    </xf>
    <xf borderId="1" fillId="0" fontId="2" numFmtId="0" xfId="0" applyAlignment="1" applyBorder="1" applyFont="1">
      <alignment readingOrder="0" vertical="top"/>
    </xf>
    <xf borderId="1" fillId="0" fontId="2" numFmtId="166" xfId="0" applyAlignment="1" applyBorder="1" applyFont="1" applyNumberFormat="1">
      <alignment horizontal="center" readingOrder="0" vertical="top"/>
    </xf>
    <xf borderId="1" fillId="0" fontId="2" numFmtId="166" xfId="0" applyAlignment="1" applyBorder="1" applyFont="1" applyNumberFormat="1">
      <alignment horizontal="center" vertical="top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3" fontId="3" numFmtId="0" xfId="0" applyAlignment="1" applyFill="1" applyFont="1">
      <alignment shrinkToFit="0" vertical="top" wrapText="1"/>
    </xf>
    <xf borderId="0" fillId="3" fontId="2" numFmtId="0" xfId="0" applyAlignment="1" applyFont="1">
      <alignment shrinkToFit="0" vertical="top" wrapText="1"/>
    </xf>
    <xf borderId="0" fillId="3" fontId="2" numFmtId="0" xfId="0" applyAlignment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readingOrder="0" shrinkToFit="0" vertical="top" wrapText="1"/>
    </xf>
    <xf borderId="1" fillId="2" fontId="1" numFmtId="0" xfId="0" applyAlignment="1" applyBorder="1" applyFont="1">
      <alignment horizontal="center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shrinkToFit="0" vertical="top" wrapText="1"/>
    </xf>
    <xf borderId="0" fillId="0" fontId="2" numFmtId="166" xfId="0" applyAlignment="1" applyFont="1" applyNumberFormat="1">
      <alignment vertical="top"/>
    </xf>
    <xf borderId="3" fillId="4" fontId="4" numFmtId="0" xfId="0" applyAlignment="1" applyBorder="1" applyFill="1" applyFont="1">
      <alignment horizontal="left" readingOrder="0" shrinkToFit="0" vertical="top" wrapText="0"/>
    </xf>
    <xf borderId="3" fillId="4" fontId="5" numFmtId="0" xfId="0" applyAlignment="1" applyBorder="1" applyFont="1">
      <alignment shrinkToFit="0" vertical="top" wrapText="0"/>
    </xf>
    <xf borderId="3" fillId="4" fontId="5" numFmtId="0" xfId="0" applyAlignment="1" applyBorder="1" applyFont="1">
      <alignment horizontal="center" shrinkToFit="0" vertical="top" wrapText="0"/>
    </xf>
    <xf borderId="3" fillId="4" fontId="5" numFmtId="164" xfId="0" applyAlignment="1" applyBorder="1" applyFont="1" applyNumberFormat="1">
      <alignment horizontal="center" shrinkToFit="0" vertical="top" wrapText="0"/>
    </xf>
    <xf borderId="3" fillId="4" fontId="5" numFmtId="164" xfId="0" applyAlignment="1" applyBorder="1" applyFont="1" applyNumberFormat="1">
      <alignment shrinkToFit="0" vertical="top" wrapText="0"/>
    </xf>
    <xf borderId="0" fillId="4" fontId="5" numFmtId="0" xfId="0" applyAlignment="1" applyFont="1">
      <alignment shrinkToFit="0" vertical="top" wrapText="0"/>
    </xf>
    <xf borderId="0" fillId="0" fontId="6" numFmtId="164" xfId="0" applyAlignment="1" applyFont="1" applyNumberFormat="1">
      <alignment horizontal="center" shrinkToFit="0" vertical="top" wrapText="1"/>
    </xf>
    <xf borderId="0" fillId="0" fontId="6" numFmtId="0" xfId="0" applyAlignment="1" applyFont="1">
      <alignment shrinkToFit="0" vertical="top" wrapText="1"/>
    </xf>
    <xf borderId="0" fillId="0" fontId="6" numFmtId="0" xfId="0" applyAlignment="1" applyFont="1">
      <alignment horizontal="center" shrinkToFit="0" vertical="top" wrapText="1"/>
    </xf>
    <xf borderId="0" fillId="0" fontId="6" numFmtId="164" xfId="0" applyAlignment="1" applyFont="1" applyNumberFormat="1">
      <alignment shrinkToFit="0" vertical="top" wrapText="1"/>
    </xf>
    <xf borderId="0" fillId="0" fontId="7" numFmtId="0" xfId="0" applyAlignment="1" applyFont="1">
      <alignment readingOrder="0" vertical="top"/>
    </xf>
    <xf borderId="1" fillId="5" fontId="3" numFmtId="164" xfId="0" applyAlignment="1" applyBorder="1" applyFill="1" applyFont="1" applyNumberFormat="1">
      <alignment horizontal="left" shrinkToFit="0" vertical="top" wrapText="1"/>
    </xf>
    <xf borderId="4" fillId="6" fontId="2" numFmtId="0" xfId="0" applyAlignment="1" applyBorder="1" applyFill="1" applyFont="1">
      <alignment horizontal="left" readingOrder="0" shrinkToFit="0" vertical="top" wrapText="1"/>
    </xf>
    <xf borderId="5" fillId="0" fontId="8" numFmtId="0" xfId="0" applyBorder="1" applyFont="1"/>
    <xf borderId="6" fillId="0" fontId="8" numFmtId="0" xfId="0" applyBorder="1" applyFont="1"/>
    <xf borderId="0" fillId="0" fontId="7" numFmtId="0" xfId="0" applyAlignment="1" applyFont="1">
      <alignment shrinkToFit="0" vertical="top" wrapText="1"/>
    </xf>
    <xf borderId="0" fillId="0" fontId="6" numFmtId="0" xfId="0" applyAlignment="1" applyFont="1">
      <alignment readingOrder="0" shrinkToFit="0" vertical="top" wrapText="0"/>
    </xf>
    <xf borderId="1" fillId="5" fontId="3" numFmtId="0" xfId="0" applyAlignment="1" applyBorder="1" applyFont="1">
      <alignment horizontal="left" shrinkToFit="0" vertical="top" wrapText="1"/>
    </xf>
    <xf borderId="4" fillId="0" fontId="2" numFmtId="0" xfId="0" applyAlignment="1" applyBorder="1" applyFont="1">
      <alignment readingOrder="0" shrinkToFit="0" vertical="top" wrapText="1"/>
    </xf>
    <xf borderId="1" fillId="5" fontId="3" numFmtId="0" xfId="0" applyAlignment="1" applyBorder="1" applyFont="1">
      <alignment horizontal="left" readingOrder="0" shrinkToFit="0" vertical="top" wrapText="1"/>
    </xf>
    <xf borderId="7" fillId="0" fontId="6" numFmtId="0" xfId="0" applyAlignment="1" applyBorder="1" applyFont="1">
      <alignment horizontal="left" readingOrder="0" shrinkToFit="0" vertical="top" wrapText="1"/>
    </xf>
    <xf borderId="8" fillId="0" fontId="8" numFmtId="0" xfId="0" applyBorder="1" applyFont="1"/>
    <xf borderId="9" fillId="0" fontId="8" numFmtId="0" xfId="0" applyBorder="1" applyFont="1"/>
    <xf borderId="4" fillId="5" fontId="3" numFmtId="0" xfId="0" applyAlignment="1" applyBorder="1" applyFont="1">
      <alignment horizontal="left" shrinkToFit="0" vertical="top" wrapText="1"/>
    </xf>
    <xf borderId="7" fillId="0" fontId="6" numFmtId="164" xfId="0" applyAlignment="1" applyBorder="1" applyFont="1" applyNumberFormat="1">
      <alignment horizontal="left" readingOrder="0" shrinkToFit="0" vertical="top" wrapText="1"/>
    </xf>
    <xf borderId="8" fillId="0" fontId="6" numFmtId="164" xfId="0" applyAlignment="1" applyBorder="1" applyFont="1" applyNumberFormat="1">
      <alignment horizontal="left" readingOrder="0" shrinkToFit="0" vertical="top" wrapText="1"/>
    </xf>
    <xf borderId="9" fillId="0" fontId="6" numFmtId="164" xfId="0" applyAlignment="1" applyBorder="1" applyFont="1" applyNumberFormat="1">
      <alignment horizontal="left" readingOrder="0" shrinkToFit="0" vertical="top" wrapText="1"/>
    </xf>
    <xf borderId="4" fillId="7" fontId="3" numFmtId="0" xfId="0" applyAlignment="1" applyBorder="1" applyFill="1" applyFont="1">
      <alignment horizontal="left" shrinkToFit="0" vertical="top" wrapText="1"/>
    </xf>
    <xf borderId="8" fillId="0" fontId="2" numFmtId="0" xfId="0" applyAlignment="1" applyBorder="1" applyFont="1">
      <alignment horizontal="center" readingOrder="0" vertical="top"/>
    </xf>
    <xf borderId="9" fillId="0" fontId="6" numFmtId="164" xfId="0" applyAlignment="1" applyBorder="1" applyFont="1" applyNumberFormat="1">
      <alignment horizontal="right" readingOrder="0" shrinkToFit="0" vertical="top" wrapText="1"/>
    </xf>
    <xf borderId="4" fillId="0" fontId="6" numFmtId="164" xfId="0" applyAlignment="1" applyBorder="1" applyFont="1" applyNumberFormat="1">
      <alignment horizontal="left" readingOrder="0" shrinkToFit="0" vertical="top" wrapText="1"/>
    </xf>
    <xf borderId="5" fillId="0" fontId="6" numFmtId="0" xfId="0" applyAlignment="1" applyBorder="1" applyFont="1">
      <alignment horizontal="center" readingOrder="0" shrinkToFit="0" vertical="top" wrapText="1"/>
    </xf>
    <xf borderId="6" fillId="0" fontId="6" numFmtId="167" xfId="0" applyAlignment="1" applyBorder="1" applyFont="1" applyNumberFormat="1">
      <alignment horizontal="right" readingOrder="0" shrinkToFit="0" vertical="top" wrapText="1"/>
    </xf>
    <xf borderId="0" fillId="8" fontId="1" numFmtId="0" xfId="0" applyAlignment="1" applyFill="1" applyFont="1">
      <alignment horizontal="center" readingOrder="0" vertical="top"/>
    </xf>
    <xf borderId="0" fillId="8" fontId="1" numFmtId="0" xfId="0" applyAlignment="1" applyFont="1">
      <alignment horizontal="center" vertical="top"/>
    </xf>
    <xf borderId="0" fillId="9" fontId="4" numFmtId="0" xfId="0" applyAlignment="1" applyFill="1" applyFont="1">
      <alignment horizontal="center" readingOrder="0" vertical="top"/>
    </xf>
    <xf borderId="0" fillId="0" fontId="2" numFmtId="0" xfId="0" applyFont="1"/>
    <xf borderId="0" fillId="0" fontId="2" numFmtId="0" xfId="0" applyAlignment="1" applyFont="1">
      <alignment horizontal="center" vertical="top"/>
    </xf>
    <xf borderId="0" fillId="0" fontId="2" numFmtId="0" xfId="0" applyAlignment="1" applyFont="1">
      <alignment horizontal="center" shrinkToFit="0" vertical="top" wrapText="1"/>
    </xf>
    <xf borderId="0" fillId="8" fontId="2" numFmtId="0" xfId="0" applyAlignment="1" applyFont="1">
      <alignment horizontal="center" vertical="top"/>
    </xf>
    <xf borderId="0" fillId="8" fontId="2" numFmtId="9" xfId="0" applyAlignment="1" applyFont="1" applyNumberFormat="1">
      <alignment horizontal="center" vertical="top"/>
    </xf>
    <xf borderId="0" fillId="9" fontId="4" numFmtId="9" xfId="0" applyAlignment="1" applyFont="1" applyNumberFormat="1">
      <alignment horizontal="center" vertical="top"/>
    </xf>
    <xf borderId="0" fillId="0" fontId="6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vertical="top"/>
    </xf>
    <xf borderId="0" fillId="5" fontId="3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5" fontId="3" numFmtId="0" xfId="0" applyAlignment="1" applyFont="1">
      <alignment shrinkToFit="0" vertical="top" wrapText="1"/>
    </xf>
    <xf borderId="0" fillId="5" fontId="3" numFmtId="164" xfId="0" applyAlignment="1" applyFont="1" applyNumberFormat="1">
      <alignment shrinkToFit="0" vertical="top" wrapText="0"/>
    </xf>
    <xf borderId="0" fillId="5" fontId="2" numFmtId="168" xfId="0" applyAlignment="1" applyFont="1" applyNumberFormat="1">
      <alignment shrinkToFit="0" vertical="top" wrapText="0"/>
    </xf>
    <xf borderId="0" fillId="5" fontId="2" numFmtId="0" xfId="0" applyAlignment="1" applyFont="1">
      <alignment shrinkToFit="0" vertical="top" wrapText="0"/>
    </xf>
    <xf borderId="0" fillId="5" fontId="2" numFmtId="164" xfId="0" applyAlignment="1" applyFont="1" applyNumberFormat="1">
      <alignment shrinkToFit="0" vertical="top" wrapText="0"/>
    </xf>
    <xf borderId="0" fillId="0" fontId="2" numFmtId="164" xfId="0" applyAlignment="1" applyFont="1" applyNumberFormat="1">
      <alignment shrinkToFit="0" vertical="top" wrapText="0"/>
    </xf>
    <xf borderId="0" fillId="0" fontId="2" numFmtId="0" xfId="0" applyAlignment="1" applyFont="1">
      <alignment shrinkToFit="0" vertical="top" wrapText="0"/>
    </xf>
    <xf borderId="1" fillId="10" fontId="3" numFmtId="0" xfId="0" applyAlignment="1" applyBorder="1" applyFill="1" applyFont="1">
      <alignment horizontal="left" shrinkToFit="0" vertical="top" wrapText="1"/>
    </xf>
    <xf borderId="1" fillId="10" fontId="3" numFmtId="164" xfId="0" applyAlignment="1" applyBorder="1" applyFont="1" applyNumberFormat="1">
      <alignment horizontal="left" shrinkToFit="0" vertical="top" wrapText="1"/>
    </xf>
    <xf borderId="1" fillId="10" fontId="3" numFmtId="0" xfId="0" applyAlignment="1" applyBorder="1" applyFont="1">
      <alignment horizontal="left" readingOrder="0" shrinkToFit="0" vertical="top" wrapText="1"/>
    </xf>
    <xf borderId="0" fillId="0" fontId="6" numFmtId="164" xfId="0" applyAlignment="1" applyFont="1" applyNumberForma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1" fillId="0" fontId="6" numFmtId="0" xfId="0" applyAlignment="1" applyBorder="1" applyFont="1">
      <alignment horizontal="left" readingOrder="0" shrinkToFit="0" vertical="top" wrapText="1"/>
    </xf>
    <xf borderId="1" fillId="0" fontId="6" numFmtId="164" xfId="0" applyAlignment="1" applyBorder="1" applyFont="1" applyNumberFormat="1">
      <alignment horizontal="left" shrinkToFit="0" vertical="top" wrapText="1"/>
    </xf>
    <xf borderId="1" fillId="0" fontId="6" numFmtId="0" xfId="0" applyAlignment="1" applyBorder="1" applyFont="1">
      <alignment horizontal="left" shrinkToFit="0" vertical="top" wrapText="1"/>
    </xf>
    <xf borderId="1" fillId="0" fontId="6" numFmtId="166" xfId="0" applyAlignment="1" applyBorder="1" applyFont="1" applyNumberFormat="1">
      <alignment horizontal="center" shrinkToFit="0" vertical="top" wrapText="1"/>
    </xf>
    <xf borderId="0" fillId="9" fontId="4" numFmtId="0" xfId="0" applyAlignment="1" applyFont="1">
      <alignment readingOrder="0" vertical="top"/>
    </xf>
    <xf borderId="0" fillId="9" fontId="5" numFmtId="0" xfId="0" applyAlignment="1" applyFont="1">
      <alignment vertical="top"/>
    </xf>
    <xf borderId="0" fillId="9" fontId="5" numFmtId="164" xfId="0" applyAlignment="1" applyFont="1" applyNumberFormat="1">
      <alignment vertical="top"/>
    </xf>
    <xf borderId="0" fillId="0" fontId="9" numFmtId="0" xfId="0" applyAlignment="1" applyFont="1">
      <alignment readingOrder="0" shrinkToFit="0" vertical="top" wrapText="0"/>
    </xf>
    <xf borderId="1" fillId="8" fontId="10" numFmtId="0" xfId="0" applyAlignment="1" applyBorder="1" applyFont="1">
      <alignment readingOrder="0" vertical="top"/>
    </xf>
    <xf borderId="1" fillId="8" fontId="10" numFmtId="0" xfId="0" applyAlignment="1" applyBorder="1" applyFont="1">
      <alignment horizontal="left" readingOrder="0" shrinkToFit="0" vertical="top" wrapText="1"/>
    </xf>
    <xf borderId="1" fillId="8" fontId="10" numFmtId="0" xfId="0" applyAlignment="1" applyBorder="1" applyFont="1">
      <alignment horizontal="left" readingOrder="0" shrinkToFit="0" vertical="top" wrapText="1"/>
    </xf>
    <xf borderId="1" fillId="8" fontId="10" numFmtId="0" xfId="0" applyAlignment="1" applyBorder="1" applyFont="1">
      <alignment horizontal="left" shrinkToFit="0" vertical="top" wrapText="1"/>
    </xf>
    <xf borderId="1" fillId="0" fontId="10" numFmtId="0" xfId="0" applyAlignment="1" applyBorder="1" applyFont="1">
      <alignment readingOrder="0" vertical="top"/>
    </xf>
    <xf borderId="1" fillId="0" fontId="6" numFmtId="0" xfId="0" applyAlignment="1" applyBorder="1" applyFont="1">
      <alignment shrinkToFit="0" vertical="top" wrapText="1"/>
    </xf>
    <xf borderId="1" fillId="8" fontId="10" numFmtId="3" xfId="0" applyAlignment="1" applyBorder="1" applyFont="1" applyNumberFormat="1">
      <alignment horizontal="right" shrinkToFit="0" vertical="top" wrapText="1"/>
    </xf>
    <xf borderId="1" fillId="8" fontId="3" numFmtId="0" xfId="0" applyAlignment="1" applyBorder="1" applyFont="1">
      <alignment readingOrder="0" vertical="top"/>
    </xf>
    <xf borderId="1" fillId="8" fontId="3" numFmtId="0" xfId="0" applyAlignment="1" applyBorder="1" applyFont="1">
      <alignment horizontal="center" readingOrder="0" vertical="top"/>
    </xf>
    <xf borderId="1" fillId="8" fontId="3" numFmtId="0" xfId="0" applyAlignment="1" applyBorder="1" applyFont="1">
      <alignment shrinkToFit="0" vertical="top" wrapText="1"/>
    </xf>
    <xf borderId="1" fillId="8" fontId="3" numFmtId="0" xfId="0" applyAlignment="1" applyBorder="1" applyFont="1">
      <alignment horizontal="center" shrinkToFit="0" vertical="top" wrapText="1"/>
    </xf>
    <xf borderId="1" fillId="8" fontId="3" numFmtId="164" xfId="0" applyAlignment="1" applyBorder="1" applyFont="1" applyNumberFormat="1">
      <alignment horizontal="center" shrinkToFit="0" vertical="top" wrapText="1"/>
    </xf>
    <xf borderId="1" fillId="0" fontId="2" numFmtId="0" xfId="0" applyAlignment="1" applyBorder="1" applyFont="1">
      <alignment horizontal="center" readingOrder="0" vertical="top"/>
    </xf>
    <xf borderId="10" fillId="11" fontId="6" numFmtId="164" xfId="0" applyAlignment="1" applyBorder="1" applyFill="1" applyFont="1" applyNumberFormat="1">
      <alignment horizontal="center" shrinkToFit="0" vertical="top" wrapText="1"/>
    </xf>
    <xf borderId="10" fillId="0" fontId="6" numFmtId="10" xfId="0" applyAlignment="1" applyBorder="1" applyFont="1" applyNumberFormat="1">
      <alignment horizontal="center" shrinkToFit="0" vertical="top" wrapText="1"/>
    </xf>
    <xf borderId="10" fillId="12" fontId="2" numFmtId="164" xfId="0" applyAlignment="1" applyBorder="1" applyFill="1" applyFont="1" applyNumberFormat="1">
      <alignment horizontal="center" readingOrder="0" vertical="top"/>
    </xf>
    <xf borderId="1" fillId="12" fontId="2" numFmtId="164" xfId="0" applyAlignment="1" applyBorder="1" applyFont="1" applyNumberFormat="1">
      <alignment horizontal="center" readingOrder="0" vertical="top"/>
    </xf>
    <xf borderId="10" fillId="0" fontId="2" numFmtId="167" xfId="0" applyAlignment="1" applyBorder="1" applyFont="1" applyNumberFormat="1">
      <alignment horizontal="center" vertical="top"/>
    </xf>
    <xf borderId="1" fillId="0" fontId="11" numFmtId="3" xfId="0" applyAlignment="1" applyBorder="1" applyFont="1" applyNumberFormat="1">
      <alignment horizontal="right" shrinkToFit="0" vertical="top" wrapText="1"/>
    </xf>
    <xf borderId="1" fillId="13" fontId="3" numFmtId="0" xfId="0" applyAlignment="1" applyBorder="1" applyFill="1" applyFont="1">
      <alignment shrinkToFit="0" vertical="top" wrapText="1"/>
    </xf>
    <xf borderId="1" fillId="0" fontId="6" numFmtId="9" xfId="0" applyAlignment="1" applyBorder="1" applyFont="1" applyNumberFormat="1">
      <alignment horizontal="right" readingOrder="0" shrinkToFit="0" vertical="top" wrapText="1"/>
    </xf>
    <xf borderId="0" fillId="0" fontId="1" numFmtId="0" xfId="0" applyAlignment="1" applyFont="1">
      <alignment readingOrder="0" vertical="top"/>
    </xf>
    <xf borderId="0" fillId="0" fontId="10" numFmtId="0" xfId="0" applyAlignment="1" applyFont="1">
      <alignment readingOrder="0" shrinkToFit="0" vertical="top" wrapText="1"/>
    </xf>
    <xf borderId="0" fillId="0" fontId="10" numFmtId="3" xfId="0" applyAlignment="1" applyFont="1" applyNumberFormat="1">
      <alignment shrinkToFit="0" vertical="top" wrapText="0"/>
    </xf>
    <xf borderId="0" fillId="0" fontId="6" numFmtId="9" xfId="0" applyAlignment="1" applyFont="1" applyNumberFormat="1">
      <alignment horizontal="right" readingOrder="0" shrinkToFit="0" vertical="top" wrapText="1"/>
    </xf>
    <xf borderId="4" fillId="8" fontId="1" numFmtId="0" xfId="0" applyAlignment="1" applyBorder="1" applyFont="1">
      <alignment readingOrder="0" vertical="top"/>
    </xf>
    <xf borderId="6" fillId="8" fontId="1" numFmtId="0" xfId="0" applyAlignment="1" applyBorder="1" applyFont="1">
      <alignment readingOrder="0" vertical="top"/>
    </xf>
    <xf borderId="7" fillId="8" fontId="10" numFmtId="0" xfId="0" applyAlignment="1" applyBorder="1" applyFont="1">
      <alignment readingOrder="0" shrinkToFit="0" vertical="top" wrapText="1"/>
    </xf>
    <xf borderId="5" fillId="8" fontId="10" numFmtId="3" xfId="0" applyAlignment="1" applyBorder="1" applyFont="1" applyNumberFormat="1">
      <alignment shrinkToFit="0" vertical="top" wrapText="0"/>
    </xf>
    <xf borderId="6" fillId="8" fontId="10" numFmtId="3" xfId="0" applyAlignment="1" applyBorder="1" applyFont="1" applyNumberFormat="1">
      <alignment shrinkToFit="0" vertical="top" wrapText="0"/>
    </xf>
    <xf borderId="4" fillId="8" fontId="10" numFmtId="0" xfId="0" applyAlignment="1" applyBorder="1" applyFont="1">
      <alignment readingOrder="0" shrinkToFit="0" vertical="top" wrapText="1"/>
    </xf>
    <xf borderId="5" fillId="8" fontId="10" numFmtId="0" xfId="0" applyAlignment="1" applyBorder="1" applyFont="1">
      <alignment readingOrder="0" shrinkToFit="0" vertical="top" wrapText="1"/>
    </xf>
    <xf borderId="1" fillId="8" fontId="3" numFmtId="0" xfId="0" applyAlignment="1" applyBorder="1" applyFont="1">
      <alignment horizontal="left" readingOrder="0" shrinkToFit="0" vertical="top" wrapText="1"/>
    </xf>
    <xf borderId="6" fillId="8" fontId="3" numFmtId="0" xfId="0" applyAlignment="1" applyBorder="1" applyFont="1">
      <alignment horizontal="left" shrinkToFit="0" vertical="top" wrapText="1"/>
    </xf>
    <xf borderId="6" fillId="8" fontId="3" numFmtId="0" xfId="0" applyAlignment="1" applyBorder="1" applyFont="1">
      <alignment horizontal="left" readingOrder="0" shrinkToFit="0" vertical="top" wrapText="1"/>
    </xf>
    <xf borderId="6" fillId="8" fontId="3" numFmtId="164" xfId="0" applyAlignment="1" applyBorder="1" applyFont="1" applyNumberFormat="1">
      <alignment horizontal="left" shrinkToFit="0" vertical="top" wrapText="1"/>
    </xf>
    <xf borderId="6" fillId="8" fontId="3" numFmtId="0" xfId="0" applyAlignment="1" applyBorder="1" applyFont="1">
      <alignment horizontal="left" shrinkToFit="0" vertical="top" wrapText="1"/>
    </xf>
    <xf borderId="6" fillId="8" fontId="10" numFmtId="0" xfId="0" applyAlignment="1" applyBorder="1" applyFont="1">
      <alignment horizontal="left" readingOrder="0" shrinkToFit="0" vertical="top" wrapText="1"/>
    </xf>
    <xf borderId="6" fillId="8" fontId="10" numFmtId="0" xfId="0" applyAlignment="1" applyBorder="1" applyFont="1">
      <alignment horizontal="left" readingOrder="0" shrinkToFit="0" vertical="top" wrapText="1"/>
    </xf>
    <xf borderId="6" fillId="8" fontId="10" numFmtId="0" xfId="0" applyAlignment="1" applyBorder="1" applyFont="1">
      <alignment horizontal="left" shrinkToFit="0" vertical="top" wrapText="1"/>
    </xf>
    <xf borderId="10" fillId="8" fontId="10" numFmtId="0" xfId="0" applyAlignment="1" applyBorder="1" applyFont="1">
      <alignment horizontal="left" readingOrder="0" shrinkToFit="0" vertical="top" wrapText="1"/>
    </xf>
    <xf borderId="10" fillId="8" fontId="10" numFmtId="0" xfId="0" applyAlignment="1" applyBorder="1" applyFont="1">
      <alignment horizontal="left" readingOrder="0" shrinkToFit="0" vertical="top" wrapText="1"/>
    </xf>
    <xf borderId="1" fillId="0" fontId="6" numFmtId="0" xfId="0" applyAlignment="1" applyBorder="1" applyFont="1">
      <alignment readingOrder="0" shrinkToFit="0" vertical="top" wrapText="1"/>
    </xf>
    <xf borderId="10" fillId="14" fontId="6" numFmtId="164" xfId="0" applyAlignment="1" applyBorder="1" applyFill="1" applyFont="1" applyNumberFormat="1">
      <alignment horizontal="center" shrinkToFit="0" vertical="top" wrapText="1"/>
    </xf>
    <xf borderId="10" fillId="12" fontId="12" numFmtId="0" xfId="0" applyAlignment="1" applyBorder="1" applyFont="1">
      <alignment readingOrder="0" shrinkToFit="0" vertical="top" wrapText="1"/>
    </xf>
    <xf borderId="10" fillId="0" fontId="13" numFmtId="167" xfId="0" applyAlignment="1" applyBorder="1" applyFont="1" applyNumberFormat="1">
      <alignment vertical="top"/>
    </xf>
    <xf borderId="10" fillId="0" fontId="6" numFmtId="164" xfId="0" applyAlignment="1" applyBorder="1" applyFont="1" applyNumberFormat="1">
      <alignment shrinkToFit="0" vertical="top" wrapText="1"/>
    </xf>
    <xf borderId="10" fillId="0" fontId="11" numFmtId="3" xfId="0" applyAlignment="1" applyBorder="1" applyFont="1" applyNumberFormat="1">
      <alignment horizontal="right" shrinkToFit="0" vertical="top" wrapText="1"/>
    </xf>
    <xf borderId="10" fillId="8" fontId="10" numFmtId="3" xfId="0" applyAlignment="1" applyBorder="1" applyFont="1" applyNumberFormat="1">
      <alignment horizontal="right" shrinkToFit="0" vertical="top" wrapText="1"/>
    </xf>
    <xf borderId="10" fillId="0" fontId="11" numFmtId="9" xfId="0" applyAlignment="1" applyBorder="1" applyFont="1" applyNumberFormat="1">
      <alignment horizontal="left" shrinkToFit="0" vertical="top" wrapText="1"/>
    </xf>
    <xf borderId="10" fillId="0" fontId="11" numFmtId="9" xfId="0" applyAlignment="1" applyBorder="1" applyFont="1" applyNumberFormat="1">
      <alignment horizontal="right" shrinkToFit="0" vertical="top" wrapText="1"/>
    </xf>
    <xf borderId="10" fillId="8" fontId="10" numFmtId="9" xfId="0" applyAlignment="1" applyBorder="1" applyFont="1" applyNumberFormat="1">
      <alignment horizontal="right" shrinkToFit="0" vertical="top" wrapText="1"/>
    </xf>
    <xf borderId="2" fillId="8" fontId="3" numFmtId="0" xfId="0" applyAlignment="1" applyBorder="1" applyFont="1">
      <alignment horizontal="left" readingOrder="0" shrinkToFit="0" vertical="top" wrapText="1"/>
    </xf>
    <xf borderId="10" fillId="8" fontId="3" numFmtId="0" xfId="0" applyAlignment="1" applyBorder="1" applyFont="1">
      <alignment horizontal="left" readingOrder="0" shrinkToFit="0" vertical="top" wrapText="1"/>
    </xf>
    <xf borderId="10" fillId="8" fontId="3" numFmtId="10" xfId="0" applyAlignment="1" applyBorder="1" applyFont="1" applyNumberFormat="1">
      <alignment horizontal="center" shrinkToFit="0" vertical="top" wrapText="1"/>
    </xf>
    <xf borderId="10" fillId="8" fontId="3" numFmtId="164" xfId="0" applyAlignment="1" applyBorder="1" applyFont="1" applyNumberFormat="1">
      <alignment shrinkToFit="0" vertical="top" wrapText="1"/>
    </xf>
    <xf borderId="10" fillId="8" fontId="3" numFmtId="167" xfId="0" applyAlignment="1" applyBorder="1" applyFont="1" applyNumberFormat="1">
      <alignment shrinkToFit="0" vertical="top" wrapText="1"/>
    </xf>
    <xf borderId="10" fillId="8" fontId="3" numFmtId="0" xfId="0" applyAlignment="1" applyBorder="1" applyFont="1">
      <alignment shrinkToFit="0" vertical="top" wrapText="1"/>
    </xf>
    <xf borderId="0" fillId="0" fontId="11" numFmtId="0" xfId="0" applyAlignment="1" applyFont="1">
      <alignment shrinkToFit="0" vertical="top" wrapText="1"/>
    </xf>
    <xf borderId="0" fillId="9" fontId="4" numFmtId="0" xfId="0" applyAlignment="1" applyFont="1">
      <alignment vertical="top"/>
    </xf>
    <xf borderId="1" fillId="8" fontId="3" numFmtId="0" xfId="0" applyAlignment="1" applyBorder="1" applyFont="1">
      <alignment shrinkToFit="0" vertical="top" wrapText="0"/>
    </xf>
    <xf borderId="1" fillId="8" fontId="3" numFmtId="164" xfId="0" applyAlignment="1" applyBorder="1" applyFont="1" applyNumberFormat="1">
      <alignment shrinkToFit="0" vertical="top" wrapText="0"/>
    </xf>
    <xf borderId="1" fillId="8" fontId="3" numFmtId="0" xfId="0" applyAlignment="1" applyBorder="1" applyFont="1">
      <alignment shrinkToFit="0" vertical="top" wrapText="0"/>
    </xf>
    <xf borderId="4" fillId="8" fontId="3" numFmtId="0" xfId="0" applyAlignment="1" applyBorder="1" applyFont="1">
      <alignment horizontal="right" shrinkToFit="0" vertical="top" wrapText="0"/>
    </xf>
    <xf borderId="4" fillId="8" fontId="3" numFmtId="0" xfId="0" applyAlignment="1" applyBorder="1" applyFont="1">
      <alignment shrinkToFit="0" vertical="top" wrapText="0"/>
    </xf>
    <xf borderId="5" fillId="8" fontId="3" numFmtId="0" xfId="0" applyAlignment="1" applyBorder="1" applyFont="1">
      <alignment shrinkToFit="0" vertical="top" wrapText="0"/>
    </xf>
    <xf borderId="5" fillId="8" fontId="2" numFmtId="0" xfId="0" applyAlignment="1" applyBorder="1" applyFont="1">
      <alignment vertical="top"/>
    </xf>
    <xf borderId="6" fillId="8" fontId="2" numFmtId="0" xfId="0" applyAlignment="1" applyBorder="1" applyFont="1">
      <alignment vertical="top"/>
    </xf>
    <xf borderId="1" fillId="8" fontId="1" numFmtId="0" xfId="0" applyAlignment="1" applyBorder="1" applyFont="1">
      <alignment shrinkToFit="0" vertical="top" wrapText="1"/>
    </xf>
    <xf borderId="1" fillId="8" fontId="1" numFmtId="0" xfId="0" applyAlignment="1" applyBorder="1" applyFont="1">
      <alignment horizontal="center" readingOrder="0" shrinkToFit="0" vertical="top" wrapText="1"/>
    </xf>
    <xf borderId="1" fillId="8" fontId="1" numFmtId="164" xfId="0" applyAlignment="1" applyBorder="1" applyFont="1" applyNumberFormat="1">
      <alignment horizontal="center" shrinkToFit="0" vertical="top" wrapText="1"/>
    </xf>
    <xf borderId="1" fillId="8" fontId="1" numFmtId="0" xfId="0" applyAlignment="1" applyBorder="1" applyFont="1">
      <alignment horizontal="center" shrinkToFit="0" vertical="top" wrapText="1"/>
    </xf>
    <xf borderId="1" fillId="8" fontId="1" numFmtId="166" xfId="0" applyAlignment="1" applyBorder="1" applyFont="1" applyNumberFormat="1">
      <alignment horizontal="center" shrinkToFit="0" vertical="top" wrapText="1"/>
    </xf>
    <xf borderId="6" fillId="8" fontId="1" numFmtId="164" xfId="0" applyAlignment="1" applyBorder="1" applyFont="1" applyNumberFormat="1">
      <alignment horizontal="center" shrinkToFit="0" vertical="top" wrapText="1"/>
    </xf>
    <xf borderId="11" fillId="0" fontId="1" numFmtId="0" xfId="0" applyAlignment="1" applyBorder="1" applyFont="1">
      <alignment shrinkToFit="0" vertical="top" wrapText="0"/>
    </xf>
    <xf borderId="1" fillId="0" fontId="1" numFmtId="0" xfId="0" applyAlignment="1" applyBorder="1" applyFont="1">
      <alignment shrinkToFit="0" vertical="top" wrapText="0"/>
    </xf>
    <xf borderId="1" fillId="0" fontId="2" numFmtId="0" xfId="0" applyAlignment="1" applyBorder="1" applyFont="1">
      <alignment horizontal="right" shrinkToFit="0" vertical="top" wrapText="0"/>
    </xf>
    <xf borderId="1" fillId="0" fontId="2" numFmtId="9" xfId="0" applyAlignment="1" applyBorder="1" applyFont="1" applyNumberFormat="1">
      <alignment horizontal="right" shrinkToFit="0" vertical="top" wrapText="0"/>
    </xf>
    <xf borderId="4" fillId="0" fontId="2" numFmtId="0" xfId="0" applyAlignment="1" applyBorder="1" applyFont="1">
      <alignment shrinkToFit="0" vertical="top" wrapText="0"/>
    </xf>
    <xf borderId="5" fillId="0" fontId="2" numFmtId="0" xfId="0" applyAlignment="1" applyBorder="1" applyFont="1">
      <alignment vertical="top"/>
    </xf>
    <xf borderId="6" fillId="0" fontId="2" numFmtId="0" xfId="0" applyAlignment="1" applyBorder="1" applyFont="1">
      <alignment vertical="top"/>
    </xf>
    <xf borderId="1" fillId="3" fontId="1" numFmtId="0" xfId="0" applyAlignment="1" applyBorder="1" applyFont="1">
      <alignment readingOrder="0" shrinkToFit="0" vertical="top" wrapText="1"/>
    </xf>
    <xf borderId="1" fillId="0" fontId="2" numFmtId="3" xfId="0" applyAlignment="1" applyBorder="1" applyFont="1" applyNumberFormat="1">
      <alignment horizontal="center" shrinkToFit="0" vertical="top" wrapText="1"/>
    </xf>
    <xf borderId="1" fillId="8" fontId="1" numFmtId="3" xfId="0" applyAlignment="1" applyBorder="1" applyFont="1" applyNumberFormat="1">
      <alignment horizontal="center" shrinkToFit="0" vertical="top" wrapText="1"/>
    </xf>
    <xf borderId="12" fillId="0" fontId="8" numFmtId="0" xfId="0" applyBorder="1" applyFont="1"/>
    <xf borderId="1" fillId="0" fontId="1" numFmtId="0" xfId="0" applyAlignment="1" applyBorder="1" applyFont="1">
      <alignment shrinkToFit="0" vertical="top" wrapText="0"/>
    </xf>
    <xf borderId="11" fillId="0" fontId="3" numFmtId="0" xfId="0" applyAlignment="1" applyBorder="1" applyFont="1">
      <alignment shrinkToFit="0" vertical="top" wrapText="0"/>
    </xf>
    <xf borderId="1" fillId="0" fontId="3" numFmtId="0" xfId="0" applyAlignment="1" applyBorder="1" applyFont="1">
      <alignment shrinkToFit="0" vertical="top" wrapText="0"/>
    </xf>
    <xf borderId="13" fillId="0" fontId="8" numFmtId="0" xfId="0" applyBorder="1" applyFont="1"/>
    <xf borderId="7" fillId="0" fontId="2" numFmtId="0" xfId="0" applyAlignment="1" applyBorder="1" applyFont="1">
      <alignment shrinkToFit="0" vertical="top" wrapText="0"/>
    </xf>
    <xf borderId="8" fillId="0" fontId="2" numFmtId="0" xfId="0" applyAlignment="1" applyBorder="1" applyFont="1">
      <alignment vertical="top"/>
    </xf>
    <xf borderId="9" fillId="0" fontId="2" numFmtId="0" xfId="0" applyAlignment="1" applyBorder="1" applyFont="1">
      <alignment vertical="top"/>
    </xf>
    <xf borderId="4" fillId="0" fontId="2" numFmtId="9" xfId="0" applyAlignment="1" applyBorder="1" applyFont="1" applyNumberFormat="1">
      <alignment horizontal="right" shrinkToFit="0" vertical="top" wrapText="0"/>
    </xf>
    <xf borderId="5" fillId="0" fontId="2" numFmtId="0" xfId="0" applyAlignment="1" applyBorder="1" applyFont="1">
      <alignment shrinkToFit="0" vertical="top" wrapText="0"/>
    </xf>
    <xf borderId="6" fillId="0" fontId="2" numFmtId="0" xfId="0" applyAlignment="1" applyBorder="1" applyFont="1">
      <alignment shrinkToFit="0" vertical="top" wrapText="0"/>
    </xf>
    <xf borderId="1" fillId="8" fontId="1" numFmtId="0" xfId="0" applyAlignment="1" applyBorder="1" applyFont="1">
      <alignment readingOrder="0" shrinkToFit="0" vertical="top" wrapText="1"/>
    </xf>
    <xf borderId="14" fillId="0" fontId="2" numFmtId="0" xfId="0" applyAlignment="1" applyBorder="1" applyFont="1">
      <alignment shrinkToFit="0" vertical="top" wrapText="0"/>
    </xf>
    <xf borderId="2" fillId="0" fontId="2" numFmtId="0" xfId="0" applyAlignment="1" applyBorder="1" applyFont="1">
      <alignment vertical="top"/>
    </xf>
    <xf borderId="10" fillId="0" fontId="2" numFmtId="0" xfId="0" applyAlignment="1" applyBorder="1" applyFont="1">
      <alignment vertical="top"/>
    </xf>
    <xf borderId="1" fillId="0" fontId="1" numFmtId="0" xfId="0" applyAlignment="1" applyBorder="1" applyFont="1">
      <alignment readingOrder="0" shrinkToFit="0" vertical="top" wrapText="0"/>
    </xf>
    <xf borderId="0" fillId="0" fontId="3" numFmtId="0" xfId="0" applyAlignment="1" applyFont="1">
      <alignment shrinkToFit="0" vertical="top" wrapText="1"/>
    </xf>
    <xf borderId="0" fillId="0" fontId="2" numFmtId="0" xfId="0" applyAlignment="1" applyFont="1">
      <alignment horizontal="right" vertical="top"/>
    </xf>
    <xf borderId="0" fillId="0" fontId="2" numFmtId="9" xfId="0" applyAlignment="1" applyFont="1" applyNumberFormat="1">
      <alignment horizontal="right" vertical="top"/>
    </xf>
    <xf borderId="1" fillId="8" fontId="2" numFmtId="0" xfId="0" applyAlignment="1" applyBorder="1" applyFont="1">
      <alignment shrinkToFit="0" vertical="top" wrapText="0"/>
    </xf>
    <xf borderId="1" fillId="8" fontId="3" numFmtId="0" xfId="0" applyAlignment="1" applyBorder="1" applyFont="1">
      <alignment horizontal="right" shrinkToFit="0" vertical="top" wrapText="0"/>
    </xf>
    <xf borderId="4" fillId="8" fontId="3" numFmtId="9" xfId="0" applyAlignment="1" applyBorder="1" applyFont="1" applyNumberFormat="1">
      <alignment horizontal="right" shrinkToFit="0" vertical="top" wrapText="0"/>
    </xf>
    <xf borderId="3" fillId="4" fontId="4" numFmtId="0" xfId="0" applyAlignment="1" applyBorder="1" applyFont="1">
      <alignment horizontal="left" shrinkToFit="0" vertical="top" wrapText="0"/>
    </xf>
    <xf borderId="15" fillId="4" fontId="2" numFmtId="0" xfId="0" applyAlignment="1" applyBorder="1" applyFont="1">
      <alignment shrinkToFit="0" vertical="top" wrapText="1"/>
    </xf>
    <xf borderId="15" fillId="4" fontId="2" numFmtId="164" xfId="0" applyAlignment="1" applyBorder="1" applyFont="1" applyNumberFormat="1">
      <alignment shrinkToFit="0" vertical="top" wrapText="1"/>
    </xf>
    <xf borderId="0" fillId="4" fontId="2" numFmtId="164" xfId="0" applyAlignment="1" applyFont="1" applyNumberFormat="1">
      <alignment shrinkToFit="0" vertical="top" wrapText="1"/>
    </xf>
    <xf borderId="0" fillId="0" fontId="2" numFmtId="0" xfId="0" applyAlignment="1" applyFont="1">
      <alignment horizontal="left" shrinkToFit="0" vertical="top" wrapText="0"/>
    </xf>
    <xf borderId="0" fillId="14" fontId="3" numFmtId="0" xfId="0" applyAlignment="1" applyFont="1">
      <alignment horizontal="left" shrinkToFit="0" vertical="top" wrapText="0"/>
    </xf>
    <xf borderId="0" fillId="14" fontId="2" numFmtId="0" xfId="0" applyAlignment="1" applyFont="1">
      <alignment shrinkToFit="0" vertical="top" wrapText="1"/>
    </xf>
    <xf borderId="0" fillId="8" fontId="3" numFmtId="0" xfId="0" applyAlignment="1" applyFont="1">
      <alignment horizontal="left" shrinkToFit="0" vertical="top" wrapText="0"/>
    </xf>
    <xf borderId="0" fillId="8" fontId="3" numFmtId="0" xfId="0" applyAlignment="1" applyFont="1">
      <alignment shrinkToFit="0" vertical="top" wrapText="1"/>
    </xf>
    <xf borderId="0" fillId="6" fontId="14" numFmtId="0" xfId="0" applyAlignment="1" applyFont="1">
      <alignment horizontal="left" shrinkToFit="0" vertical="top" wrapText="0"/>
    </xf>
    <xf borderId="0" fillId="6" fontId="14" numFmtId="0" xfId="0" applyAlignment="1" applyFont="1">
      <alignment readingOrder="0" shrinkToFit="0" vertical="top" wrapText="1"/>
    </xf>
    <xf borderId="0" fillId="6" fontId="14" numFmtId="0" xfId="0" applyAlignment="1" applyFont="1">
      <alignment shrinkToFit="0" vertical="top" wrapText="1"/>
    </xf>
    <xf borderId="0" fillId="0" fontId="15" numFmtId="0" xfId="0" applyAlignment="1" applyFont="1">
      <alignment readingOrder="0" shrinkToFit="0" vertical="top" wrapText="1"/>
    </xf>
    <xf borderId="0" fillId="14" fontId="1" numFmtId="0" xfId="0" applyAlignment="1" applyFont="1">
      <alignment horizontal="left" shrinkToFit="0" vertical="top" wrapText="0"/>
    </xf>
    <xf borderId="0" fillId="8" fontId="1" numFmtId="0" xfId="0" applyAlignment="1" applyFont="1">
      <alignment horizontal="left" shrinkToFit="0" vertical="top" wrapText="0"/>
    </xf>
    <xf borderId="0" fillId="8" fontId="1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0"/>
    </xf>
    <xf borderId="16" fillId="14" fontId="1" numFmtId="0" xfId="0" applyAlignment="1" applyBorder="1" applyFont="1">
      <alignment horizontal="left" shrinkToFit="0" vertical="top" wrapText="0"/>
    </xf>
    <xf borderId="0" fillId="6" fontId="16" numFmtId="0" xfId="0" applyAlignment="1" applyFont="1">
      <alignment readingOrder="0" shrinkToFit="0" vertical="top" wrapText="1"/>
    </xf>
    <xf borderId="16" fillId="14" fontId="3" numFmtId="0" xfId="0" applyAlignment="1" applyBorder="1" applyFont="1">
      <alignment horizontal="left" shrinkToFit="0" vertical="top" wrapText="0"/>
    </xf>
    <xf borderId="0" fillId="8" fontId="3" numFmtId="0" xfId="0" applyAlignment="1" applyFont="1">
      <alignment shrinkToFit="0" vertical="top" wrapText="1"/>
    </xf>
    <xf borderId="16" fillId="14" fontId="3" numFmtId="0" xfId="0" applyAlignment="1" applyBorder="1" applyFont="1">
      <alignment horizontal="left" readingOrder="0" shrinkToFit="0" vertical="top" wrapText="0"/>
    </xf>
    <xf borderId="0" fillId="8" fontId="3" numFmtId="0" xfId="0" applyAlignment="1" applyFont="1">
      <alignment readingOrder="0" shrinkToFit="0" vertical="top" wrapText="1"/>
    </xf>
    <xf borderId="16" fillId="0" fontId="3" numFmtId="0" xfId="0" applyAlignment="1" applyBorder="1" applyFont="1">
      <alignment horizontal="left" readingOrder="0" shrinkToFit="0" vertical="top" wrapText="0"/>
    </xf>
    <xf borderId="0" fillId="0" fontId="2" numFmtId="0" xfId="0" applyAlignment="1" applyFont="1">
      <alignment readingOrder="0" vertical="top"/>
    </xf>
    <xf borderId="1" fillId="8" fontId="17" numFmtId="0" xfId="0" applyAlignment="1" applyBorder="1" applyFont="1">
      <alignment readingOrder="0" vertical="top"/>
    </xf>
    <xf borderId="1" fillId="0" fontId="17" numFmtId="0" xfId="0" applyAlignment="1" applyBorder="1" applyFont="1">
      <alignment readingOrder="0" shrinkToFit="0" vertical="top" wrapText="1"/>
    </xf>
    <xf borderId="1" fillId="0" fontId="18" numFmtId="0" xfId="0" applyAlignment="1" applyBorder="1" applyFont="1">
      <alignment readingOrder="0" shrinkToFit="0" vertical="top" wrapText="1"/>
    </xf>
    <xf borderId="0" fillId="0" fontId="2" numFmtId="9" xfId="0" applyAlignment="1" applyFont="1" applyNumberFormat="1">
      <alignment readingOrder="0" shrinkToFit="0" vertical="top" wrapText="1"/>
    </xf>
    <xf borderId="1" fillId="0" fontId="17" numFmtId="0" xfId="0" applyAlignment="1" applyBorder="1" applyFont="1">
      <alignment readingOrder="0" vertical="top"/>
    </xf>
    <xf borderId="1" fillId="0" fontId="18" numFmtId="0" xfId="0" applyAlignment="1" applyBorder="1" applyFont="1">
      <alignment horizontal="center" readingOrder="0" shrinkToFit="0" vertical="top" wrapText="1"/>
    </xf>
    <xf borderId="0" fillId="0" fontId="2" numFmtId="0" xfId="0" applyAlignment="1" applyFont="1">
      <alignment horizontal="left" shrinkToFit="0" vertical="top" wrapText="0"/>
    </xf>
    <xf borderId="0" fillId="14" fontId="19" numFmtId="0" xfId="0" applyAlignment="1" applyFont="1">
      <alignment horizontal="left" shrinkToFit="0" vertical="top" wrapText="0"/>
    </xf>
    <xf borderId="0" fillId="14" fontId="19" numFmtId="0" xfId="0" applyAlignment="1" applyFont="1">
      <alignment shrinkToFit="0" vertical="top" wrapText="1"/>
    </xf>
    <xf borderId="0" fillId="6" fontId="14" numFmtId="0" xfId="0" applyAlignment="1" applyFont="1">
      <alignment shrinkToFit="0" vertical="top" wrapText="1"/>
    </xf>
    <xf borderId="0" fillId="14" fontId="19" numFmtId="0" xfId="0" applyAlignment="1" applyFont="1">
      <alignment horizontal="left" shrinkToFit="0" vertical="top" wrapText="0"/>
    </xf>
    <xf borderId="0" fillId="14" fontId="19" numFmtId="0" xfId="0" applyAlignment="1" applyFont="1">
      <alignment horizontal="left" readingOrder="0" shrinkToFit="0" vertical="top" wrapText="0"/>
    </xf>
    <xf borderId="0" fillId="14" fontId="2" numFmtId="0" xfId="0" applyAlignment="1" applyFont="1">
      <alignment shrinkToFit="0" vertical="top" wrapText="0"/>
    </xf>
    <xf borderId="0" fillId="8" fontId="3" numFmtId="0" xfId="0" applyAlignment="1" applyFont="1">
      <alignment readingOrder="0" shrinkToFit="0" vertical="top" wrapText="0"/>
    </xf>
    <xf borderId="0" fillId="0" fontId="6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16" fillId="0" fontId="6" numFmtId="0" xfId="0" applyAlignment="1" applyBorder="1" applyFont="1">
      <alignment horizontal="left" readingOrder="0" shrinkToFit="0" vertical="top" wrapText="0"/>
    </xf>
    <xf borderId="0" fillId="6" fontId="14" numFmtId="0" xfId="0" applyAlignment="1" applyFont="1">
      <alignment horizontal="left" readingOrder="0" shrinkToFit="0" vertical="top" wrapText="0"/>
    </xf>
    <xf borderId="0" fillId="6" fontId="20" numFmtId="0" xfId="0" applyAlignment="1" applyFont="1">
      <alignment horizontal="left" readingOrder="0" shrinkToFit="0" vertical="top" wrapText="0"/>
    </xf>
    <xf borderId="0" fillId="6" fontId="21" numFmtId="0" xfId="0" applyAlignment="1" applyFont="1">
      <alignment horizontal="left" readingOrder="0" shrinkToFit="0" vertical="top" wrapText="0"/>
    </xf>
    <xf borderId="0" fillId="6" fontId="22" numFmtId="0" xfId="0" applyAlignment="1" applyFont="1">
      <alignment horizontal="left" shrinkToFit="0" vertical="top" wrapText="0"/>
    </xf>
    <xf borderId="0" fillId="6" fontId="23" numFmtId="0" xfId="0" applyAlignment="1" applyFont="1">
      <alignment horizontal="left" shrinkToFit="0" vertical="top" wrapText="0"/>
    </xf>
    <xf borderId="0" fillId="6" fontId="14" numFmtId="0" xfId="0" applyAlignment="1" applyFont="1">
      <alignment horizontal="left" shrinkToFit="0" vertical="top" wrapText="0"/>
    </xf>
    <xf borderId="0" fillId="0" fontId="24" numFmtId="0" xfId="0" applyAlignment="1" applyFont="1">
      <alignment horizontal="left" readingOrder="0" shrinkToFit="0" vertical="top" wrapText="0"/>
    </xf>
    <xf borderId="0" fillId="0" fontId="25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26" numFmtId="0" xfId="0" applyAlignment="1" applyFont="1">
      <alignment horizontal="left" shrinkToFit="0" vertical="top" wrapText="0"/>
    </xf>
    <xf borderId="0" fillId="6" fontId="27" numFmtId="0" xfId="0" applyAlignment="1" applyFont="1">
      <alignment horizontal="left" shrinkToFit="0" vertical="top" wrapText="0"/>
    </xf>
    <xf borderId="0" fillId="0" fontId="28" numFmtId="0" xfId="0" applyAlignment="1" applyFont="1">
      <alignment horizontal="left" readingOrder="0" shrinkToFit="0" vertical="top" wrapText="0"/>
    </xf>
    <xf borderId="16" fillId="0" fontId="3" numFmtId="0" xfId="0" applyAlignment="1" applyBorder="1" applyFont="1">
      <alignment horizontal="left" shrinkToFit="0" vertical="top" wrapText="0"/>
    </xf>
    <xf borderId="0" fillId="8" fontId="3" numFmtId="0" xfId="0" applyAlignment="1" applyFont="1">
      <alignment shrinkToFit="0" vertical="top" wrapText="0"/>
    </xf>
    <xf borderId="16" fillId="6" fontId="14" numFmtId="0" xfId="0" applyAlignment="1" applyBorder="1" applyFont="1">
      <alignment shrinkToFit="0" vertical="top" wrapText="0"/>
    </xf>
    <xf borderId="16" fillId="6" fontId="14" numFmtId="0" xfId="0" applyAlignment="1" applyBorder="1" applyFont="1">
      <alignment readingOrder="0" shrinkToFit="0" vertical="top" wrapText="0"/>
    </xf>
    <xf borderId="16" fillId="6" fontId="14" numFmtId="0" xfId="0" applyAlignment="1" applyBorder="1" applyFont="1">
      <alignment shrinkToFit="0" vertical="top" wrapText="0"/>
    </xf>
    <xf borderId="0" fillId="6" fontId="14" numFmtId="0" xfId="0" applyAlignment="1" applyFont="1">
      <alignment shrinkToFit="0" vertical="top" wrapText="0"/>
    </xf>
    <xf borderId="0" fillId="0" fontId="14" numFmtId="0" xfId="0" applyAlignment="1" applyFont="1">
      <alignment shrinkToFit="0" vertical="top" wrapText="0"/>
    </xf>
    <xf borderId="0" fillId="0" fontId="29" numFmtId="0" xfId="0" applyAlignment="1" applyFont="1">
      <alignment shrinkToFit="0" vertical="top" wrapText="0"/>
    </xf>
    <xf borderId="0" fillId="0" fontId="30" numFmtId="0" xfId="0" applyAlignment="1" applyFont="1">
      <alignment readingOrder="0" shrinkToFit="0" vertical="top" wrapText="0"/>
    </xf>
    <xf borderId="0" fillId="6" fontId="2" numFmtId="0" xfId="0" applyAlignment="1" applyFont="1">
      <alignment horizontal="left" shrinkToFit="0" vertical="top" wrapText="0"/>
    </xf>
    <xf borderId="0" fillId="6" fontId="2" numFmtId="0" xfId="0" applyAlignment="1" applyFont="1">
      <alignment horizontal="left" readingOrder="0" shrinkToFit="0" vertical="top" wrapText="0"/>
    </xf>
    <xf borderId="0" fillId="6" fontId="14" numFmtId="0" xfId="0" applyAlignment="1" applyFont="1">
      <alignment shrinkToFit="0" vertical="top" wrapText="0"/>
    </xf>
    <xf borderId="16" fillId="0" fontId="14" numFmtId="0" xfId="0" applyAlignment="1" applyBorder="1" applyFont="1">
      <alignment shrinkToFit="0" vertical="top" wrapText="0"/>
    </xf>
    <xf borderId="0" fillId="0" fontId="31" numFmtId="0" xfId="0" applyAlignment="1" applyFont="1">
      <alignment shrinkToFit="0" vertical="top" wrapText="0"/>
    </xf>
    <xf borderId="0" fillId="6" fontId="2" numFmtId="0" xfId="0" applyAlignment="1" applyFont="1">
      <alignment horizontal="left" shrinkToFit="0" vertical="top" wrapText="0"/>
    </xf>
    <xf borderId="16" fillId="14" fontId="3" numFmtId="0" xfId="0" applyAlignment="1" applyBorder="1" applyFont="1">
      <alignment horizontal="left" shrinkToFit="0" vertical="top" wrapText="0"/>
    </xf>
    <xf borderId="0" fillId="8" fontId="3" numFmtId="0" xfId="0" applyAlignment="1" applyFont="1">
      <alignment shrinkToFit="0" vertical="top" wrapText="0"/>
    </xf>
    <xf borderId="0" fillId="0" fontId="32" numFmtId="0" xfId="0" applyAlignment="1" applyFont="1">
      <alignment shrinkToFit="0" vertical="top" wrapText="0"/>
    </xf>
    <xf borderId="0" fillId="0" fontId="11" numFmtId="0" xfId="0" applyAlignment="1" applyFont="1">
      <alignment shrinkToFit="0" vertical="top" wrapText="0"/>
    </xf>
    <xf borderId="0" fillId="0" fontId="10" numFmtId="0" xfId="0" applyAlignment="1" applyFont="1">
      <alignment readingOrder="0" shrinkToFit="0" vertical="top" wrapText="0"/>
    </xf>
    <xf borderId="0" fillId="6" fontId="11" numFmtId="0" xfId="0" applyAlignment="1" applyFont="1">
      <alignment horizontal="left" readingOrder="0" shrinkToFit="0" vertical="top" wrapText="0"/>
    </xf>
    <xf borderId="0" fillId="0" fontId="11" numFmtId="0" xfId="0" applyAlignment="1" applyFont="1">
      <alignment readingOrder="0" shrinkToFit="0" vertical="top" wrapText="0"/>
    </xf>
    <xf borderId="0" fillId="0" fontId="11" numFmtId="0" xfId="0" applyAlignment="1" applyFont="1">
      <alignment vertical="top"/>
    </xf>
    <xf borderId="0" fillId="15" fontId="4" numFmtId="49" xfId="0" applyAlignment="1" applyFill="1" applyFont="1" applyNumberFormat="1">
      <alignment horizontal="left" shrinkToFit="0" vertical="top" wrapText="0"/>
    </xf>
    <xf borderId="0" fillId="15" fontId="4" numFmtId="0" xfId="0" applyAlignment="1" applyFont="1">
      <alignment horizontal="left" readingOrder="0" shrinkToFit="0" vertical="top" wrapText="0"/>
    </xf>
    <xf borderId="0" fillId="15" fontId="5" numFmtId="0" xfId="0" applyAlignment="1" applyFont="1">
      <alignment horizontal="left" shrinkToFit="0" vertical="top" wrapText="0"/>
    </xf>
    <xf borderId="0" fillId="15" fontId="5" numFmtId="0" xfId="0" applyAlignment="1" applyFont="1">
      <alignment horizontal="left" readingOrder="0" shrinkToFit="0" vertical="top" wrapText="0"/>
    </xf>
    <xf borderId="0" fillId="15" fontId="5" numFmtId="0" xfId="0" applyAlignment="1" applyFont="1">
      <alignment horizontal="left" shrinkToFit="0" vertical="top" wrapText="0"/>
    </xf>
    <xf borderId="0" fillId="15" fontId="5" numFmtId="166" xfId="0" applyAlignment="1" applyFont="1" applyNumberFormat="1">
      <alignment horizontal="center" shrinkToFit="0" vertical="top" wrapText="0"/>
    </xf>
    <xf borderId="0" fillId="15" fontId="5" numFmtId="0" xfId="0" applyAlignment="1" applyFont="1">
      <alignment horizontal="left" shrinkToFit="0" vertical="top" wrapText="1"/>
    </xf>
    <xf borderId="0" fillId="0" fontId="6" numFmtId="49" xfId="0" applyAlignment="1" applyFont="1" applyNumberFormat="1">
      <alignment horizontal="left" shrinkToFit="0" vertical="top" wrapText="1"/>
    </xf>
    <xf borderId="0" fillId="0" fontId="6" numFmtId="0" xfId="0" applyAlignment="1" applyFont="1">
      <alignment horizontal="left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6" numFmtId="166" xfId="0" applyAlignment="1" applyFont="1" applyNumberFormat="1">
      <alignment horizontal="center" shrinkToFit="0" vertical="top" wrapText="1"/>
    </xf>
    <xf borderId="0" fillId="10" fontId="3" numFmtId="49" xfId="0" applyAlignment="1" applyFont="1" applyNumberFormat="1">
      <alignment horizontal="left" readingOrder="0" shrinkToFit="0" vertical="top" wrapText="0"/>
    </xf>
    <xf borderId="0" fillId="10" fontId="3" numFmtId="0" xfId="0" applyAlignment="1" applyFont="1">
      <alignment horizontal="left" shrinkToFit="0" vertical="top" wrapText="0"/>
    </xf>
    <xf borderId="0" fillId="10" fontId="1" numFmtId="0" xfId="0" applyAlignment="1" applyFont="1">
      <alignment horizontal="left" readingOrder="0" shrinkToFit="0" vertical="top" wrapText="0"/>
    </xf>
    <xf borderId="0" fillId="10" fontId="3" numFmtId="0" xfId="0" applyAlignment="1" applyFont="1">
      <alignment horizontal="left" readingOrder="0" shrinkToFit="0" vertical="top" wrapText="0"/>
    </xf>
    <xf borderId="0" fillId="10" fontId="3" numFmtId="0" xfId="0" applyAlignment="1" applyFont="1">
      <alignment horizontal="left" shrinkToFit="0" vertical="top" wrapText="0"/>
    </xf>
    <xf borderId="0" fillId="10" fontId="1" numFmtId="0" xfId="0" applyAlignment="1" applyFont="1">
      <alignment horizontal="left" shrinkToFit="0" vertical="top" wrapText="0"/>
    </xf>
    <xf borderId="0" fillId="10" fontId="1" numFmtId="0" xfId="0" applyAlignment="1" applyFont="1">
      <alignment horizontal="left" readingOrder="0" shrinkToFit="0" vertical="top" wrapText="1"/>
    </xf>
    <xf borderId="0" fillId="7" fontId="1" numFmtId="49" xfId="0" applyAlignment="1" applyFont="1" applyNumberFormat="1">
      <alignment horizontal="left" readingOrder="0" shrinkToFit="0" vertical="top" wrapText="1"/>
    </xf>
    <xf borderId="0" fillId="7" fontId="3" numFmtId="0" xfId="0" applyAlignment="1" applyFont="1">
      <alignment horizontal="left" readingOrder="0" shrinkToFit="0" vertical="top" wrapText="0"/>
    </xf>
    <xf borderId="0" fillId="7" fontId="3" numFmtId="0" xfId="0" applyAlignment="1" applyFont="1">
      <alignment horizontal="left" shrinkToFit="0" vertical="top" wrapText="1"/>
    </xf>
    <xf borderId="0" fillId="7" fontId="3" numFmtId="0" xfId="0" applyAlignment="1" applyFont="1">
      <alignment horizontal="left" readingOrder="0" shrinkToFit="0" vertical="top" wrapText="1"/>
    </xf>
    <xf borderId="0" fillId="7" fontId="6" numFmtId="0" xfId="0" applyAlignment="1" applyFont="1">
      <alignment readingOrder="0" vertical="top"/>
    </xf>
    <xf borderId="0" fillId="7" fontId="33" numFmtId="0" xfId="0" applyAlignment="1" applyFont="1">
      <alignment horizontal="left" readingOrder="0" shrinkToFit="0" vertical="top" wrapText="1"/>
    </xf>
    <xf borderId="0" fillId="7" fontId="34" numFmtId="0" xfId="0" applyAlignment="1" applyFont="1">
      <alignment readingOrder="0" vertical="top"/>
    </xf>
    <xf borderId="0" fillId="7" fontId="34" numFmtId="0" xfId="0" applyAlignment="1" applyFont="1">
      <alignment horizontal="left" readingOrder="0" shrinkToFit="0" vertical="top" wrapText="1"/>
    </xf>
    <xf borderId="0" fillId="7" fontId="3" numFmtId="0" xfId="0" applyAlignment="1" applyFont="1">
      <alignment horizontal="left" readingOrder="0" shrinkToFit="0" vertical="top" wrapText="1"/>
    </xf>
    <xf borderId="0" fillId="7" fontId="1" numFmtId="0" xfId="0" applyAlignment="1" applyFont="1">
      <alignment horizontal="left" readingOrder="0" shrinkToFit="0" vertical="top" wrapText="1"/>
    </xf>
    <xf borderId="0" fillId="7" fontId="3" numFmtId="166" xfId="0" applyAlignment="1" applyFont="1" applyNumberFormat="1">
      <alignment horizontal="center" shrinkToFit="0" vertical="top" wrapText="1"/>
    </xf>
    <xf borderId="0" fillId="16" fontId="2" numFmtId="49" xfId="0" applyAlignment="1" applyFill="1" applyFont="1" applyNumberFormat="1">
      <alignment horizontal="left" readingOrder="0" shrinkToFit="0" vertical="top" wrapText="1"/>
    </xf>
    <xf borderId="0" fillId="16" fontId="3" numFmtId="0" xfId="0" applyAlignment="1" applyFont="1">
      <alignment horizontal="left" readingOrder="0" shrinkToFit="0" vertical="top" wrapText="0"/>
    </xf>
    <xf borderId="0" fillId="16" fontId="2" numFmtId="0" xfId="0" applyAlignment="1" applyFont="1">
      <alignment readingOrder="0" shrinkToFit="0" vertical="top" wrapText="1"/>
    </xf>
    <xf borderId="0" fillId="16" fontId="35" numFmtId="49" xfId="0" applyAlignment="1" applyFont="1" applyNumberFormat="1">
      <alignment readingOrder="0" shrinkToFit="0" vertical="top" wrapText="1"/>
    </xf>
    <xf borderId="0" fillId="16" fontId="36" numFmtId="0" xfId="0" applyAlignment="1" applyFont="1">
      <alignment readingOrder="0" shrinkToFit="0" vertical="top" wrapText="1"/>
    </xf>
    <xf borderId="0" fillId="16" fontId="2" numFmtId="0" xfId="0" applyAlignment="1" applyFont="1">
      <alignment horizontal="left" readingOrder="0" shrinkToFit="0" vertical="top" wrapText="1"/>
    </xf>
    <xf borderId="0" fillId="16" fontId="2" numFmtId="0" xfId="0" applyAlignment="1" applyFont="1">
      <alignment shrinkToFit="0" vertical="top" wrapText="1"/>
    </xf>
    <xf borderId="0" fillId="16" fontId="2" numFmtId="0" xfId="0" applyAlignment="1" applyFont="1">
      <alignment horizontal="left" readingOrder="0" shrinkToFit="0" vertical="top" wrapText="1"/>
    </xf>
    <xf borderId="0" fillId="16" fontId="6" numFmtId="166" xfId="0" applyAlignment="1" applyFont="1" applyNumberFormat="1">
      <alignment horizontal="center" readingOrder="0" shrinkToFit="0" vertical="top" wrapText="1"/>
    </xf>
    <xf borderId="0" fillId="16" fontId="6" numFmtId="0" xfId="0" applyAlignment="1" applyFont="1">
      <alignment horizontal="left" shrinkToFit="0" vertical="top" wrapText="1"/>
    </xf>
    <xf borderId="0" fillId="3" fontId="2" numFmtId="49" xfId="0" applyAlignment="1" applyFont="1" applyNumberFormat="1">
      <alignment horizontal="left" readingOrder="0" shrinkToFit="0" vertical="top" wrapText="1"/>
    </xf>
    <xf borderId="0" fillId="0" fontId="6" numFmtId="0" xfId="0" applyAlignment="1" applyFont="1">
      <alignment horizontal="left" readingOrder="0" shrinkToFit="0" vertical="top" wrapText="1"/>
    </xf>
    <xf borderId="0" fillId="0" fontId="35" numFmtId="49" xfId="0" applyAlignment="1" applyFont="1" applyNumberFormat="1">
      <alignment readingOrder="0" shrinkToFit="0" vertical="top" wrapText="1"/>
    </xf>
    <xf borderId="0" fillId="0" fontId="36" numFmtId="0" xfId="0" applyAlignment="1" applyFont="1">
      <alignment readingOrder="0" shrinkToFit="0" vertical="top" wrapText="1"/>
    </xf>
    <xf borderId="0" fillId="3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top" wrapText="1"/>
    </xf>
    <xf borderId="0" fillId="0" fontId="6" numFmtId="166" xfId="0" applyAlignment="1" applyFont="1" applyNumberFormat="1">
      <alignment horizontal="center" readingOrder="0" shrinkToFit="0" vertical="top" wrapText="1"/>
    </xf>
    <xf borderId="0" fillId="0" fontId="37" numFmtId="0" xfId="0" applyAlignment="1" applyFont="1">
      <alignment horizontal="left" readingOrder="0" shrinkToFit="0" vertical="top" wrapText="1"/>
    </xf>
    <xf borderId="0" fillId="0" fontId="38" numFmtId="0" xfId="0" applyAlignment="1" applyFont="1">
      <alignment readingOrder="0" shrinkToFit="0" vertical="top" wrapText="1"/>
    </xf>
    <xf borderId="0" fillId="0" fontId="39" numFmtId="0" xfId="0" applyAlignment="1" applyFont="1">
      <alignment readingOrder="0" shrinkToFit="0" vertical="top" wrapText="1"/>
    </xf>
    <xf borderId="0" fillId="7" fontId="2" numFmtId="0" xfId="0" applyAlignment="1" applyFont="1">
      <alignment readingOrder="0" shrinkToFit="0" vertical="top" wrapText="1"/>
    </xf>
    <xf borderId="0" fillId="7" fontId="1" numFmtId="0" xfId="0" applyAlignment="1" applyFont="1">
      <alignment horizontal="left" readingOrder="0" shrinkToFit="0" vertical="top" wrapText="1"/>
    </xf>
    <xf borderId="0" fillId="17" fontId="2" numFmtId="49" xfId="0" applyAlignment="1" applyFill="1" applyFont="1" applyNumberFormat="1">
      <alignment horizontal="left" readingOrder="0" shrinkToFit="0" vertical="top" wrapText="1"/>
    </xf>
    <xf borderId="0" fillId="17" fontId="3" numFmtId="0" xfId="0" applyAlignment="1" applyFont="1">
      <alignment horizontal="left" readingOrder="0" shrinkToFit="0" vertical="top" wrapText="0"/>
    </xf>
    <xf borderId="0" fillId="17" fontId="2" numFmtId="0" xfId="0" applyAlignment="1" applyFont="1">
      <alignment readingOrder="0" shrinkToFit="0" vertical="top" wrapText="1"/>
    </xf>
    <xf borderId="0" fillId="17" fontId="35" numFmtId="49" xfId="0" applyAlignment="1" applyFont="1" applyNumberFormat="1">
      <alignment readingOrder="0" shrinkToFit="0" vertical="top" wrapText="1"/>
    </xf>
    <xf borderId="0" fillId="17" fontId="36" numFmtId="0" xfId="0" applyAlignment="1" applyFont="1">
      <alignment readingOrder="0" shrinkToFit="0" vertical="top" wrapText="1"/>
    </xf>
    <xf borderId="0" fillId="17" fontId="2" numFmtId="0" xfId="0" applyAlignment="1" applyFont="1">
      <alignment horizontal="left" readingOrder="0" shrinkToFit="0" vertical="top" wrapText="1"/>
    </xf>
    <xf borderId="0" fillId="17" fontId="2" numFmtId="0" xfId="0" applyAlignment="1" applyFont="1">
      <alignment shrinkToFit="0" vertical="top" wrapText="1"/>
    </xf>
    <xf borderId="0" fillId="17" fontId="2" numFmtId="0" xfId="0" applyAlignment="1" applyFont="1">
      <alignment horizontal="left" readingOrder="0" shrinkToFit="0" vertical="top" wrapText="1"/>
    </xf>
    <xf borderId="0" fillId="17" fontId="6" numFmtId="166" xfId="0" applyAlignment="1" applyFont="1" applyNumberFormat="1">
      <alignment horizontal="center" readingOrder="0" shrinkToFit="0" vertical="top" wrapText="1"/>
    </xf>
    <xf borderId="0" fillId="17" fontId="6" numFmtId="0" xfId="0" applyAlignment="1" applyFont="1">
      <alignment horizontal="left" shrinkToFit="0" vertical="top" wrapText="1"/>
    </xf>
    <xf borderId="0" fillId="0" fontId="1" numFmtId="0" xfId="0" applyAlignment="1" applyFont="1">
      <alignment horizontal="left" readingOrder="0" shrinkToFit="0" vertical="top" wrapText="1"/>
    </xf>
    <xf borderId="0" fillId="3" fontId="40" numFmtId="0" xfId="0" applyAlignment="1" applyFont="1">
      <alignment shrinkToFit="0" vertical="top" wrapText="1"/>
    </xf>
    <xf borderId="0" fillId="3" fontId="41" numFmtId="49" xfId="0" applyAlignment="1" applyFont="1" applyNumberFormat="1">
      <alignment vertical="top"/>
    </xf>
    <xf borderId="0" fillId="0" fontId="42" numFmtId="0" xfId="0" applyAlignment="1" applyFont="1">
      <alignment shrinkToFit="0" vertical="top" wrapText="1"/>
    </xf>
    <xf borderId="0" fillId="0" fontId="40" numFmtId="0" xfId="0" applyAlignment="1" applyFont="1">
      <alignment shrinkToFit="0" vertical="top" wrapText="1"/>
    </xf>
    <xf borderId="0" fillId="0" fontId="40" numFmtId="0" xfId="0" applyAlignment="1" applyFont="1">
      <alignment readingOrder="0" shrinkToFit="0" vertical="top" wrapText="1"/>
    </xf>
    <xf borderId="0" fillId="0" fontId="41" numFmtId="0" xfId="0" applyAlignment="1" applyFont="1">
      <alignment vertical="top"/>
    </xf>
    <xf borderId="0" fillId="0" fontId="39" numFmtId="0" xfId="0" applyAlignment="1" applyFont="1">
      <alignment shrinkToFit="0" vertical="top" wrapText="1"/>
    </xf>
    <xf borderId="0" fillId="0" fontId="41" numFmtId="0" xfId="0" applyAlignment="1" applyFont="1">
      <alignment vertical="top"/>
    </xf>
    <xf borderId="0" fillId="4" fontId="4" numFmtId="0" xfId="0" applyAlignment="1" applyFont="1">
      <alignment horizontal="left" readingOrder="0" shrinkToFit="0" vertical="top" wrapText="0"/>
    </xf>
    <xf borderId="0" fillId="4" fontId="4" numFmtId="0" xfId="0" applyAlignment="1" applyFont="1">
      <alignment horizontal="left" shrinkToFit="0" vertical="top" wrapText="0"/>
    </xf>
    <xf borderId="0" fillId="4" fontId="43" numFmtId="0" xfId="0" applyAlignment="1" applyFont="1">
      <alignment horizontal="left" readingOrder="0" shrinkToFit="0" vertical="top" wrapText="0"/>
    </xf>
    <xf borderId="0" fillId="4" fontId="5" numFmtId="164" xfId="0" applyAlignment="1" applyFont="1" applyNumberFormat="1">
      <alignment horizontal="left" shrinkToFit="0" vertical="top" wrapText="0"/>
    </xf>
    <xf borderId="0" fillId="4" fontId="5" numFmtId="0" xfId="0" applyAlignment="1" applyFont="1">
      <alignment horizontal="left" shrinkToFit="0" vertical="top" wrapText="0"/>
    </xf>
    <xf borderId="0" fillId="4" fontId="5" numFmtId="0" xfId="0" applyAlignment="1" applyFont="1">
      <alignment horizontal="left" readingOrder="0" shrinkToFit="0" vertical="top" wrapText="0"/>
    </xf>
    <xf borderId="0" fillId="0" fontId="44" numFmtId="0" xfId="0" applyAlignment="1" applyFont="1">
      <alignment readingOrder="0" shrinkToFit="0" vertical="top" wrapText="0"/>
    </xf>
    <xf borderId="0" fillId="0" fontId="6" numFmtId="0" xfId="0" applyAlignment="1" applyFont="1">
      <alignment shrinkToFit="0" vertical="top" wrapText="0"/>
    </xf>
    <xf borderId="0" fillId="12" fontId="6" numFmtId="0" xfId="0" applyAlignment="1" applyFont="1">
      <alignment readingOrder="0" shrinkToFit="0" vertical="top" wrapText="0"/>
    </xf>
    <xf borderId="0" fillId="12" fontId="6" numFmtId="0" xfId="0" applyAlignment="1" applyFont="1">
      <alignment shrinkToFit="0" vertical="top" wrapText="0"/>
    </xf>
    <xf borderId="0" fillId="10" fontId="3" numFmtId="0" xfId="0" applyAlignment="1" applyFont="1">
      <alignment shrinkToFit="0" vertical="top" wrapText="0"/>
    </xf>
    <xf borderId="0" fillId="10" fontId="3" numFmtId="0" xfId="0" applyAlignment="1" applyFont="1">
      <alignment horizontal="left" shrinkToFit="0" vertical="top" wrapText="0"/>
    </xf>
    <xf borderId="0" fillId="0" fontId="6" numFmtId="169" xfId="0" applyAlignment="1" applyFont="1" applyNumberFormat="1">
      <alignment shrinkToFit="0" vertical="top" wrapText="0"/>
    </xf>
    <xf borderId="0" fillId="15" fontId="4" numFmtId="0" xfId="0" applyAlignment="1" applyFont="1">
      <alignment horizontal="left" readingOrder="0" shrinkToFit="0" vertical="top" wrapText="1"/>
    </xf>
    <xf borderId="0" fillId="15" fontId="5" numFmtId="0" xfId="0" applyAlignment="1" applyFont="1">
      <alignment horizontal="left" shrinkToFit="0" vertical="top" wrapText="1"/>
    </xf>
    <xf borderId="17" fillId="8" fontId="1" numFmtId="0" xfId="0" applyAlignment="1" applyBorder="1" applyFont="1">
      <alignment horizontal="left" readingOrder="0" shrinkToFit="0" vertical="top" wrapText="0"/>
    </xf>
    <xf borderId="0" fillId="8" fontId="1" numFmtId="0" xfId="0" applyAlignment="1" applyFont="1">
      <alignment readingOrder="0" shrinkToFit="0" vertical="top" wrapText="0"/>
    </xf>
    <xf borderId="0" fillId="8" fontId="1" numFmtId="0" xfId="0" applyAlignment="1" applyFont="1">
      <alignment shrinkToFit="0" vertical="top" wrapText="0"/>
    </xf>
    <xf borderId="0" fillId="8" fontId="17" numFmtId="0" xfId="0" applyAlignment="1" applyFont="1">
      <alignment readingOrder="0" shrinkToFit="0" vertical="top" wrapText="0"/>
    </xf>
    <xf borderId="18" fillId="12" fontId="1" numFmtId="0" xfId="0" applyAlignment="1" applyBorder="1" applyFont="1">
      <alignment horizontal="left" readingOrder="0" shrinkToFit="0" vertical="top" wrapText="0"/>
    </xf>
    <xf borderId="17" fillId="12" fontId="1" numFmtId="0" xfId="0" applyAlignment="1" applyBorder="1" applyFont="1">
      <alignment horizontal="left" readingOrder="0" shrinkToFit="0" vertical="top" wrapText="0"/>
    </xf>
    <xf borderId="0" fillId="0" fontId="8" numFmtId="0" xfId="0" applyAlignment="1" applyFont="1">
      <alignment readingOrder="0"/>
    </xf>
    <xf borderId="0" fillId="0" fontId="6" numFmtId="0" xfId="0" applyAlignment="1" applyFont="1">
      <alignment vertical="top"/>
    </xf>
    <xf borderId="0" fillId="0" fontId="6" numFmtId="0" xfId="0" applyAlignment="1" applyFont="1">
      <alignment readingOrder="0" vertical="top"/>
    </xf>
    <xf borderId="0" fillId="0" fontId="6" numFmtId="167" xfId="0" applyAlignment="1" applyFont="1" applyNumberFormat="1">
      <alignment vertical="top"/>
    </xf>
    <xf borderId="0" fillId="0" fontId="2" numFmtId="167" xfId="0" applyAlignment="1" applyFont="1" applyNumberFormat="1">
      <alignment horizontal="left" readingOrder="0" vertical="top"/>
    </xf>
    <xf borderId="0" fillId="0" fontId="18" numFmtId="0" xfId="0" applyAlignment="1" applyFont="1">
      <alignment horizontal="center" readingOrder="0" shrinkToFit="0" vertical="top" wrapText="0"/>
    </xf>
    <xf borderId="0" fillId="0" fontId="18" numFmtId="0" xfId="0" applyAlignment="1" applyFont="1">
      <alignment readingOrder="0" shrinkToFit="0" vertical="top" wrapText="0"/>
    </xf>
    <xf borderId="0" fillId="0" fontId="6" numFmtId="0" xfId="0" applyAlignment="1" applyFont="1">
      <alignment vertical="top"/>
    </xf>
    <xf borderId="0" fillId="0" fontId="45" numFmtId="0" xfId="0" applyAlignment="1" applyFont="1">
      <alignment readingOrder="0"/>
    </xf>
    <xf borderId="0" fillId="0" fontId="13" numFmtId="167" xfId="0" applyAlignment="1" applyFont="1" applyNumberFormat="1">
      <alignment vertical="top"/>
    </xf>
  </cellXfs>
  <cellStyles count="1">
    <cellStyle xfId="0" name="Normal" builtinId="0"/>
  </cellStyles>
  <dxfs count="13"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7030A0"/>
          <bgColor rgb="FF7030A0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2F2F2"/>
          <bgColor rgb="FFF2F2F2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Roboto"/>
              </a:defRPr>
            </a:pPr>
            <a:r>
              <a:rPr b="1" i="0" sz="1400">
                <a:solidFill>
                  <a:srgbClr val="000000"/>
                </a:solidFill>
                <a:latin typeface="Roboto"/>
              </a:rPr>
              <a:t>Issues by Priority &amp; Status</a:t>
            </a:r>
          </a:p>
        </c:rich>
      </c:tx>
      <c:layout>
        <c:manualLayout>
          <c:xMode val="edge"/>
          <c:yMode val="edge"/>
          <c:x val="0.042578125"/>
          <c:y val="0.04683544303797468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'Test Summary'!$F$111</c:f>
            </c:strRef>
          </c:tx>
          <c:spPr>
            <a:solidFill>
              <a:srgbClr val="93C47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Summary'!$A$112:$A$116</c:f>
            </c:strRef>
          </c:cat>
          <c:val>
            <c:numRef>
              <c:f>'Test Summary'!$F$112:$F$116</c:f>
              <c:numCache/>
            </c:numRef>
          </c:val>
        </c:ser>
        <c:ser>
          <c:idx val="1"/>
          <c:order val="1"/>
          <c:tx>
            <c:strRef>
              <c:f>'Test Summary'!$E$111</c:f>
            </c:strRef>
          </c:tx>
          <c:spPr>
            <a:solidFill>
              <a:srgbClr val="9FC5E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Summary'!$A$112:$A$116</c:f>
            </c:strRef>
          </c:cat>
          <c:val>
            <c:numRef>
              <c:f>'Test Summary'!$E$112:$E$116</c:f>
              <c:numCache/>
            </c:numRef>
          </c:val>
        </c:ser>
        <c:ser>
          <c:idx val="2"/>
          <c:order val="2"/>
          <c:tx>
            <c:strRef>
              <c:f>'Test Summary'!$D$111</c:f>
            </c:strRef>
          </c:tx>
          <c:spPr>
            <a:solidFill>
              <a:srgbClr val="F9CB9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Summary'!$A$112:$A$116</c:f>
            </c:strRef>
          </c:cat>
          <c:val>
            <c:numRef>
              <c:f>'Test Summary'!$D$112:$D$116</c:f>
              <c:numCache/>
            </c:numRef>
          </c:val>
        </c:ser>
        <c:ser>
          <c:idx val="3"/>
          <c:order val="3"/>
          <c:tx>
            <c:strRef>
              <c:f>'Test Summary'!$C$111</c:f>
            </c:strRef>
          </c:tx>
          <c:spPr>
            <a:solidFill>
              <a:srgbClr val="FFF2C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Summary'!$A$112:$A$116</c:f>
            </c:strRef>
          </c:cat>
          <c:val>
            <c:numRef>
              <c:f>'Test Summary'!$C$112:$C$116</c:f>
              <c:numCache/>
            </c:numRef>
          </c:val>
        </c:ser>
        <c:ser>
          <c:idx val="4"/>
          <c:order val="4"/>
          <c:tx>
            <c:strRef>
              <c:f>'Test Summary'!$B$111</c:f>
            </c:strRef>
          </c:tx>
          <c:spPr>
            <a:solidFill>
              <a:srgbClr val="E066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Summary'!$A$112:$A$116</c:f>
            </c:strRef>
          </c:cat>
          <c:val>
            <c:numRef>
              <c:f>'Test Summary'!$B$112:$B$116</c:f>
              <c:numCache/>
            </c:numRef>
          </c:val>
        </c:ser>
        <c:overlap val="100"/>
        <c:axId val="182865426"/>
        <c:axId val="565410214"/>
      </c:barChart>
      <c:catAx>
        <c:axId val="1828654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Roboto"/>
              </a:defRPr>
            </a:pPr>
          </a:p>
        </c:txPr>
        <c:crossAx val="565410214"/>
      </c:catAx>
      <c:valAx>
        <c:axId val="565410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Roboto"/>
              </a:defRPr>
            </a:pPr>
          </a:p>
        </c:txPr>
        <c:crossAx val="182865426"/>
      </c:valAx>
      <c:spPr>
        <a:solidFill>
          <a:srgbClr val="FFFFFF"/>
        </a:solidFill>
      </c:spPr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Arial"/>
              </a:defRPr>
            </a:pPr>
            <a:r>
              <a:rPr b="1" sz="1400">
                <a:solidFill>
                  <a:srgbClr val="000000"/>
                </a:solidFill>
                <a:latin typeface="Arial"/>
              </a:rPr>
              <a:t>Ready for Test</a:t>
            </a:r>
          </a:p>
        </c:rich>
      </c:tx>
      <c:overlay val="0"/>
    </c:title>
    <c:plotArea>
      <c:layout>
        <c:manualLayout>
          <c:xMode val="edge"/>
          <c:yMode val="edge"/>
          <c:x val="0.03085106382978725"/>
          <c:y val="0.15229885057471268"/>
          <c:w val="0.9554711246200609"/>
          <c:h val="0.7977011494252874"/>
        </c:manualLayout>
      </c:layout>
      <c:doughnutChart>
        <c:varyColors val="1"/>
        <c:ser>
          <c:idx val="0"/>
          <c:order val="0"/>
          <c:dPt>
            <c:idx val="0"/>
            <c:spPr>
              <a:solidFill>
                <a:srgbClr val="6FA8DC"/>
              </a:solidFill>
            </c:spPr>
          </c:dPt>
          <c:dPt>
            <c:idx val="1"/>
            <c:spPr>
              <a:solidFill>
                <a:srgbClr val="999999"/>
              </a:solidFill>
            </c:spPr>
          </c:dPt>
          <c:dPt>
            <c:idx val="2"/>
            <c:spPr>
              <a:solidFill>
                <a:srgbClr val="F4B400"/>
              </a:solidFill>
            </c:spPr>
          </c:dPt>
          <c:dPt>
            <c:idx val="3"/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'Test Summary'!$A$78:$A$81</c:f>
            </c:strRef>
          </c:cat>
          <c:val>
            <c:numRef>
              <c:f>'Test Summary'!$B$78:$B$81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  <c:spPr>
        <a:solidFill>
          <a:srgbClr val="FFFFFF"/>
        </a:solidFill>
      </c:spPr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>
        <a:alpha val="0"/>
      </a:srgbClr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Roboto"/>
              </a:defRPr>
            </a:pPr>
            <a:r>
              <a:rPr b="1" sz="1400">
                <a:solidFill>
                  <a:srgbClr val="000000"/>
                </a:solidFill>
                <a:latin typeface="Roboto"/>
              </a:rPr>
              <a:t>Issues by Status &amp; Priority</a:t>
            </a:r>
          </a:p>
        </c:rich>
      </c:tx>
      <c:layout>
        <c:manualLayout>
          <c:xMode val="edge"/>
          <c:yMode val="edge"/>
          <c:x val="0.03643410852713178"/>
          <c:y val="0.05"/>
        </c:manualLayout>
      </c:layout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'Test Summary'!$A$116</c:f>
            </c:strRef>
          </c:tx>
          <c:spPr>
            <a:solidFill>
              <a:srgbClr val="CCCCC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Summary'!$B$111:$F$111</c:f>
            </c:strRef>
          </c:cat>
          <c:val>
            <c:numRef>
              <c:f>'Test Summary'!$B$116:$F$116</c:f>
              <c:numCache/>
            </c:numRef>
          </c:val>
        </c:ser>
        <c:ser>
          <c:idx val="1"/>
          <c:order val="1"/>
          <c:tx>
            <c:strRef>
              <c:f>'Test Summary'!$A$115</c:f>
            </c:strRef>
          </c:tx>
          <c:spPr>
            <a:solidFill>
              <a:srgbClr val="A4C2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Summary'!$B$111:$F$111</c:f>
            </c:strRef>
          </c:cat>
          <c:val>
            <c:numRef>
              <c:f>'Test Summary'!$B$115:$F$115</c:f>
              <c:numCache/>
            </c:numRef>
          </c:val>
        </c:ser>
        <c:ser>
          <c:idx val="2"/>
          <c:order val="2"/>
          <c:tx>
            <c:strRef>
              <c:f>'Test Summary'!$A$114</c:f>
            </c:strRef>
          </c:tx>
          <c:spPr>
            <a:solidFill>
              <a:srgbClr val="8E7CC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Summary'!$B$111:$F$111</c:f>
            </c:strRef>
          </c:cat>
          <c:val>
            <c:numRef>
              <c:f>'Test Summary'!$B$114:$F$114</c:f>
              <c:numCache/>
            </c:numRef>
          </c:val>
        </c:ser>
        <c:ser>
          <c:idx val="3"/>
          <c:order val="3"/>
          <c:tx>
            <c:strRef>
              <c:f>'Test Summary'!$A$113</c:f>
            </c:strRef>
          </c:tx>
          <c:spPr>
            <a:solidFill>
              <a:srgbClr val="F6B26B"/>
            </a:solidFill>
            <a:ln cmpd="sng">
              <a:noFill/>
            </a:ln>
          </c:spPr>
          <c:cat>
            <c:strRef>
              <c:f>'Test Summary'!$B$111:$F$111</c:f>
            </c:strRef>
          </c:cat>
          <c:val>
            <c:numRef>
              <c:f>'Test Summary'!$B$113:$F$113</c:f>
              <c:numCache/>
            </c:numRef>
          </c:val>
        </c:ser>
        <c:ser>
          <c:idx val="4"/>
          <c:order val="4"/>
          <c:tx>
            <c:strRef>
              <c:f>'Test Summary'!$A$112</c:f>
            </c:strRef>
          </c:tx>
          <c:spPr>
            <a:solidFill>
              <a:srgbClr val="EA9999"/>
            </a:solidFill>
            <a:ln cmpd="sng">
              <a:noFill/>
            </a:ln>
          </c:spPr>
          <c:cat>
            <c:strRef>
              <c:f>'Test Summary'!$B$111:$F$111</c:f>
            </c:strRef>
          </c:cat>
          <c:val>
            <c:numRef>
              <c:f>'Test Summary'!$B$112:$F$112</c:f>
              <c:numCache/>
            </c:numRef>
          </c:val>
        </c:ser>
        <c:overlap val="100"/>
        <c:axId val="431962541"/>
        <c:axId val="726753066"/>
      </c:barChart>
      <c:catAx>
        <c:axId val="4319625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726753066"/>
      </c:catAx>
      <c:valAx>
        <c:axId val="72675306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431962541"/>
      </c:valAx>
    </c:plotArea>
    <c:legend>
      <c:legendPos val="b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Roboto"/>
              </a:defRPr>
            </a:pPr>
            <a:r>
              <a:rPr b="1" sz="1400">
                <a:solidFill>
                  <a:srgbClr val="000000"/>
                </a:solidFill>
                <a:latin typeface="Roboto"/>
              </a:rPr>
              <a:t>Timeline</a:t>
            </a:r>
          </a:p>
        </c:rich>
      </c:tx>
      <c:overlay val="0"/>
    </c:title>
    <c:plotArea>
      <c:layout>
        <c:manualLayout>
          <c:xMode val="edge"/>
          <c:yMode val="edge"/>
          <c:x val="0.01124567474048443"/>
          <c:y val="0.3055555555555556"/>
          <c:w val="0.9833044982698962"/>
          <c:h val="0.40634920634920646"/>
        </c:manualLayout>
      </c:layout>
      <c:barChart>
        <c:barDir val="bar"/>
        <c:grouping val="stacked"/>
        <c:ser>
          <c:idx val="0"/>
          <c:order val="0"/>
          <c:spPr>
            <a:solidFill>
              <a:srgbClr val="4285F4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'Test Summary'!$B$11:$B$12</c:f>
              <c:numCache/>
            </c:numRef>
          </c:val>
        </c:ser>
        <c:ser>
          <c:idx val="1"/>
          <c:order val="1"/>
          <c:spPr>
            <a:solidFill>
              <a:srgbClr val="C9DAF8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val>
            <c:numRef>
              <c:f>'Test Summary'!$C$11:$C$12</c:f>
              <c:numCache/>
            </c:numRef>
          </c:val>
        </c:ser>
        <c:overlap val="100"/>
        <c:axId val="1335794012"/>
        <c:axId val="1899027504"/>
      </c:barChart>
      <c:catAx>
        <c:axId val="13357940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99027504"/>
      </c:catAx>
      <c:valAx>
        <c:axId val="189902750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335794012"/>
        <c:crosses val="max"/>
      </c:valAx>
    </c:plotArea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Roboto"/>
              </a:defRPr>
            </a:pPr>
            <a:r>
              <a:rPr b="1" sz="1400">
                <a:solidFill>
                  <a:srgbClr val="000000"/>
                </a:solidFill>
                <a:latin typeface="Roboto"/>
              </a:rPr>
              <a:t>Root Cause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'Test Summary'!$T$110</c:f>
            </c:strRef>
          </c:tx>
          <c:dPt>
            <c:idx val="0"/>
            <c:spPr>
              <a:solidFill>
                <a:srgbClr val="F9CB9C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"/>
            <c:spPr>
              <a:solidFill>
                <a:srgbClr val="FFE599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2"/>
            <c:spPr>
              <a:solidFill>
                <a:srgbClr val="F1C232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3"/>
            <c:spPr>
              <a:solidFill>
                <a:srgbClr val="B4A7D6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4"/>
            <c:spPr>
              <a:solidFill>
                <a:srgbClr val="9FC5E8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5"/>
            <c:spPr>
              <a:solidFill>
                <a:srgbClr val="6FA8DC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6"/>
            <c:spPr>
              <a:solidFill>
                <a:srgbClr val="0B5394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7"/>
            <c:spPr>
              <a:solidFill>
                <a:srgbClr val="BF9000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8"/>
            <c:spPr>
              <a:solidFill>
                <a:srgbClr val="D9D9D9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9"/>
            <c:spPr>
              <a:solidFill>
                <a:srgbClr val="D9EAD3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0"/>
            <c:spPr>
              <a:solidFill>
                <a:srgbClr val="999999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1"/>
            <c:spPr>
              <a:solidFill>
                <a:srgbClr val="EAD1DC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2"/>
            <c:spPr>
              <a:solidFill>
                <a:srgbClr val="F3F3F3"/>
              </a:solidFill>
              <a:ln cmpd="sng" w="9525">
                <a:solidFill>
                  <a:srgbClr val="F3F3F3"/>
                </a:solidFill>
              </a:ln>
            </c:spPr>
          </c:dPt>
          <c:dPt>
            <c:idx val="13"/>
            <c:spPr>
              <a:solidFill>
                <a:srgbClr val="DB4437"/>
              </a:solidFill>
              <a:ln cmpd="sng" w="9525">
                <a:solidFill>
                  <a:srgbClr val="F3F3F3"/>
                </a:solidFill>
              </a:ln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Summary'!$S$111:$S$124</c:f>
            </c:strRef>
          </c:cat>
          <c:val>
            <c:numRef>
              <c:f>'Test Summary'!$T$111:$T$124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Roboto"/>
              </a:defRPr>
            </a:pPr>
            <a:r>
              <a:rPr b="1" sz="1400">
                <a:solidFill>
                  <a:srgbClr val="000000"/>
                </a:solidFill>
                <a:latin typeface="Roboto"/>
              </a:rPr>
              <a:t>Test Progress by Status</a:t>
            </a:r>
          </a:p>
        </c:rich>
      </c:tx>
      <c:layout>
        <c:manualLayout>
          <c:xMode val="edge"/>
          <c:yMode val="edge"/>
          <c:x val="0.03258333333333333"/>
          <c:y val="0.05"/>
        </c:manualLayout>
      </c:layout>
      <c:overlay val="0"/>
    </c:title>
    <c:plotArea>
      <c:layout/>
      <c:doughnutChart>
        <c:varyColors val="1"/>
        <c:ser>
          <c:idx val="0"/>
          <c:order val="0"/>
          <c:tx>
            <c:strRef>
              <c:f>'Test Summary'!$R$38</c:f>
            </c:strRef>
          </c:tx>
          <c:dPt>
            <c:idx val="0"/>
            <c:spPr>
              <a:solidFill>
                <a:srgbClr val="D9D9D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'Test Summary'!$S$37:$Z$37</c:f>
            </c:strRef>
          </c:cat>
          <c:val>
            <c:numRef>
              <c:f>'Test Summary'!$S$38:$Z$38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1400">
                <a:solidFill>
                  <a:srgbClr val="000000"/>
                </a:solidFill>
                <a:latin typeface="Roboto"/>
              </a:defRPr>
            </a:pPr>
            <a:r>
              <a:rPr b="1" sz="1400">
                <a:solidFill>
                  <a:srgbClr val="000000"/>
                </a:solidFill>
                <a:latin typeface="Roboto"/>
              </a:rPr>
              <a:t>Test Progress by Feature</a:t>
            </a:r>
          </a:p>
        </c:rich>
      </c:tx>
      <c:overlay val="0"/>
    </c:title>
    <c:plotArea>
      <c:layout>
        <c:manualLayout>
          <c:xMode val="edge"/>
          <c:yMode val="edge"/>
          <c:x val="0.35083333333333333"/>
          <c:y val="0.1522911051212938"/>
          <c:w val="0.5533333333333331"/>
          <c:h val="0.7491913746630727"/>
        </c:manualLayout>
      </c:layout>
      <c:barChart>
        <c:barDir val="bar"/>
        <c:grouping val="stacked"/>
        <c:ser>
          <c:idx val="0"/>
          <c:order val="0"/>
          <c:tx>
            <c:strRef>
              <c:f>'Test Summary'!$BC$84</c:f>
            </c:strRef>
          </c:tx>
          <c:spPr>
            <a:solidFill>
              <a:srgbClr val="F3F3F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Summary'!$BC$85:$BC$88</c:f>
              <c:numCache/>
            </c:numRef>
          </c:val>
        </c:ser>
        <c:ser>
          <c:idx val="1"/>
          <c:order val="1"/>
          <c:tx>
            <c:strRef>
              <c:f>'Test Summary'!$BD$84</c:f>
            </c:strRef>
          </c:tx>
          <c:spPr>
            <a:solidFill>
              <a:srgbClr val="93C47D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Summary'!$BD$85:$BD$88</c:f>
              <c:numCache/>
            </c:numRef>
          </c:val>
        </c:ser>
        <c:ser>
          <c:idx val="2"/>
          <c:order val="2"/>
          <c:tx>
            <c:strRef>
              <c:f>'Test Summary'!$BE$84</c:f>
            </c:strRef>
          </c:tx>
          <c:spPr>
            <a:solidFill>
              <a:srgbClr val="6FA8DC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Summary'!$BE$85:$BE$88</c:f>
              <c:numCache/>
            </c:numRef>
          </c:val>
        </c:ser>
        <c:ser>
          <c:idx val="3"/>
          <c:order val="3"/>
          <c:tx>
            <c:strRef>
              <c:f>'Test Summary'!$BF$84</c:f>
            </c:strRef>
          </c:tx>
          <c:spPr>
            <a:solidFill>
              <a:srgbClr val="DD7E6B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Summary'!$BF$85:$BF$88</c:f>
              <c:numCache/>
            </c:numRef>
          </c:val>
        </c:ser>
        <c:ser>
          <c:idx val="4"/>
          <c:order val="4"/>
          <c:tx>
            <c:strRef>
              <c:f>'Test Summary'!$BG$84</c:f>
            </c:strRef>
          </c:tx>
          <c:spPr>
            <a:solidFill>
              <a:srgbClr val="8E7CC3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Summary'!$BG$85:$BG$88</c:f>
              <c:numCache/>
            </c:numRef>
          </c:val>
        </c:ser>
        <c:ser>
          <c:idx val="5"/>
          <c:order val="5"/>
          <c:tx>
            <c:strRef>
              <c:f>'Test Summary'!$BH$84</c:f>
            </c:strRef>
          </c:tx>
          <c:spPr>
            <a:solidFill>
              <a:srgbClr val="FFD966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Summary'!$BH$85:$BH$88</c:f>
              <c:numCache/>
            </c:numRef>
          </c:val>
        </c:ser>
        <c:ser>
          <c:idx val="6"/>
          <c:order val="6"/>
          <c:tx>
            <c:strRef>
              <c:f>'Test Summary'!$BI$84</c:f>
            </c:strRef>
          </c:tx>
          <c:spPr>
            <a:solidFill>
              <a:srgbClr val="D9D9D9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Summary'!$BI$85:$BI$88</c:f>
              <c:numCache/>
            </c:numRef>
          </c:val>
        </c:ser>
        <c:ser>
          <c:idx val="7"/>
          <c:order val="7"/>
          <c:tx>
            <c:strRef>
              <c:f>'Test Summary'!$BJ$84</c:f>
            </c:strRef>
          </c:tx>
          <c:spPr>
            <a:solidFill>
              <a:srgbClr val="FF9900"/>
            </a:solidFill>
            <a:ln cmpd="sng">
              <a:noFill/>
            </a:ln>
          </c:spPr>
          <c:dLbls>
            <c:numFmt formatCode="General" sourceLinked="1"/>
            <c:txPr>
              <a:bodyPr/>
              <a:lstStyle/>
              <a:p>
                <a:pPr lvl="0">
                  <a:defRPr sz="10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'Test Summary'!$BB$85:$BB$88</c:f>
            </c:strRef>
          </c:cat>
          <c:val>
            <c:numRef>
              <c:f>'Test Summary'!$BJ$85:$BJ$88</c:f>
              <c:numCache/>
            </c:numRef>
          </c:val>
        </c:ser>
        <c:overlap val="100"/>
        <c:axId val="166937722"/>
        <c:axId val="949943379"/>
      </c:barChart>
      <c:catAx>
        <c:axId val="1669377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sz="1200">
                <a:solidFill>
                  <a:srgbClr val="000000"/>
                </a:solidFill>
                <a:latin typeface="Roboto"/>
              </a:defRPr>
            </a:pPr>
          </a:p>
        </c:txPr>
        <c:crossAx val="949943379"/>
      </c:catAx>
      <c:valAx>
        <c:axId val="949943379"/>
        <c:scaling>
          <c:orientation val="minMax"/>
          <c:max val="1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1000">
                <a:solidFill>
                  <a:srgbClr val="000000"/>
                </a:solidFill>
                <a:latin typeface="Roboto"/>
              </a:defRPr>
            </a:pPr>
          </a:p>
        </c:txPr>
        <c:crossAx val="166937722"/>
        <c:crosses val="max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28575</xdr:colOff>
      <xdr:row>92</xdr:row>
      <xdr:rowOff>85725</xdr:rowOff>
    </xdr:from>
    <xdr:ext cx="4876800" cy="3009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0</xdr:colOff>
      <xdr:row>31</xdr:row>
      <xdr:rowOff>123825</xdr:rowOff>
    </xdr:from>
    <xdr:ext cx="3133725" cy="19335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57150</xdr:colOff>
      <xdr:row>92</xdr:row>
      <xdr:rowOff>85725</xdr:rowOff>
    </xdr:from>
    <xdr:ext cx="4914900" cy="30099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0</xdr:col>
      <xdr:colOff>0</xdr:colOff>
      <xdr:row>12</xdr:row>
      <xdr:rowOff>123825</xdr:rowOff>
    </xdr:from>
    <xdr:ext cx="5505450" cy="600075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17</xdr:col>
      <xdr:colOff>28575</xdr:colOff>
      <xdr:row>92</xdr:row>
      <xdr:rowOff>85725</xdr:rowOff>
    </xdr:from>
    <xdr:ext cx="4914900" cy="30099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1</xdr:col>
      <xdr:colOff>523875</xdr:colOff>
      <xdr:row>31</xdr:row>
      <xdr:rowOff>123825</xdr:rowOff>
    </xdr:from>
    <xdr:ext cx="3200400" cy="193357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0</xdr:col>
      <xdr:colOff>0</xdr:colOff>
      <xdr:row>43</xdr:row>
      <xdr:rowOff>47625</xdr:rowOff>
    </xdr:from>
    <xdr:ext cx="7820025" cy="48291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17</xdr:col>
      <xdr:colOff>695325</xdr:colOff>
      <xdr:row>0</xdr:row>
      <xdr:rowOff>200025</xdr:rowOff>
    </xdr:from>
    <xdr:ext cx="1390650" cy="638175"/>
    <xdr:sp>
      <xdr:nvSpPr>
        <xdr:cNvPr id="3" name="Shape 3"/>
        <xdr:cNvSpPr/>
      </xdr:nvSpPr>
      <xdr:spPr>
        <a:xfrm>
          <a:off x="4437200" y="226000"/>
          <a:ext cx="1373400" cy="617100"/>
        </a:xfrm>
        <a:prstGeom prst="roundRect">
          <a:avLst>
            <a:gd fmla="val 16667" name="adj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solidFill>
                <a:srgbClr val="0000FF"/>
              </a:solidFill>
            </a:rPr>
            <a:t>Send E-mail</a:t>
          </a:r>
          <a:endParaRPr b="1" sz="1400">
            <a:solidFill>
              <a:srgbClr val="0000FF"/>
            </a:solidFill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absoluteAnchor>
    <xdr:pos x="0" y="0"/>
    <xdr:ext cx="8610600" cy="6276975"/>
    <xdr:pic>
      <xdr:nvPicPr>
        <xdr:cNvPr id="1057243493" name="Visualization1" title="Visualization">
          <a:extLst>
            <a:ext uri="GoogleSheetsCustomDataVersion1">
              <go:sheetsCustomData xmlns:go="http://customooxmlschemas.google.com/" pictureOfVisualization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absolute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://chutima.so/" TargetMode="External"/><Relationship Id="rId3" Type="http://schemas.openxmlformats.org/officeDocument/2006/relationships/hyperlink" Target="http://chutima.so/" TargetMode="External"/><Relationship Id="rId4" Type="http://schemas.openxmlformats.org/officeDocument/2006/relationships/hyperlink" Target="http://chutima.so/" TargetMode="External"/><Relationship Id="rId5" Type="http://schemas.openxmlformats.org/officeDocument/2006/relationships/hyperlink" Target="http://chutima.so/" TargetMode="External"/><Relationship Id="rId6" Type="http://schemas.openxmlformats.org/officeDocument/2006/relationships/drawing" Target="../drawings/drawing2.xml"/><Relationship Id="rId7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cypress.io/" TargetMode="External"/><Relationship Id="rId10" Type="http://schemas.openxmlformats.org/officeDocument/2006/relationships/hyperlink" Target="https://builtwith.com/" TargetMode="External"/><Relationship Id="rId13" Type="http://schemas.openxmlformats.org/officeDocument/2006/relationships/drawing" Target="../drawings/drawing3.xml"/><Relationship Id="rId12" Type="http://schemas.openxmlformats.org/officeDocument/2006/relationships/hyperlink" Target="https://code.visualstudio.com/" TargetMode="External"/><Relationship Id="rId1" Type="http://schemas.openxmlformats.org/officeDocument/2006/relationships/comments" Target="../comments2.xml"/><Relationship Id="rId2" Type="http://schemas.openxmlformats.org/officeDocument/2006/relationships/hyperlink" Target="https://redmine.ochi.link/" TargetMode="External"/><Relationship Id="rId3" Type="http://schemas.openxmlformats.org/officeDocument/2006/relationships/hyperlink" Target="https://developer.android.com/studio" TargetMode="External"/><Relationship Id="rId4" Type="http://schemas.openxmlformats.org/officeDocument/2006/relationships/hyperlink" Target="http://www.responsinator.com/" TargetMode="External"/><Relationship Id="rId9" Type="http://schemas.openxmlformats.org/officeDocument/2006/relationships/hyperlink" Target="https://securityheaders.io/" TargetMode="External"/><Relationship Id="rId14" Type="http://schemas.openxmlformats.org/officeDocument/2006/relationships/vmlDrawing" Target="../drawings/vmlDrawing2.vml"/><Relationship Id="rId5" Type="http://schemas.openxmlformats.org/officeDocument/2006/relationships/hyperlink" Target="http://draw.io" TargetMode="External"/><Relationship Id="rId6" Type="http://schemas.openxmlformats.org/officeDocument/2006/relationships/hyperlink" Target="https://owasp.org/www-community/Vulnerability_Scanning_Tools" TargetMode="External"/><Relationship Id="rId7" Type="http://schemas.openxmlformats.org/officeDocument/2006/relationships/hyperlink" Target="https://www.acunetix.com/product/" TargetMode="External"/><Relationship Id="rId8" Type="http://schemas.openxmlformats.org/officeDocument/2006/relationships/hyperlink" Target="https://github.com/MobSF/Mobile-Security-Framework-MobSF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wiki.thaisamut.co.th/pages/viewpage.action?pageId=972652954" TargetMode="External"/><Relationship Id="rId2" Type="http://schemas.openxmlformats.org/officeDocument/2006/relationships/hyperlink" Target="https://docs.google.com/spreadsheets/d/16Xyl4zVIHW_tQy-hrP5JxeVRiYw-nvcb0N-9EdpkmWc/edit?gid=1689217702" TargetMode="External"/><Relationship Id="rId3" Type="http://schemas.openxmlformats.org/officeDocument/2006/relationships/hyperlink" Target="http://wiki.thaisamut.co.th/pages/viewpage.action?pageId=930152608" TargetMode="External"/><Relationship Id="rId4" Type="http://schemas.openxmlformats.org/officeDocument/2006/relationships/hyperlink" Target="http://wiki.thaisamut.co.th/pages/viewpage.action?pageId=930513382" TargetMode="External"/><Relationship Id="rId5" Type="http://schemas.openxmlformats.org/officeDocument/2006/relationships/hyperlink" Target="http://wiki.thaisamut.co.th/pages/viewpage.action?pageId=1075413076" TargetMode="External"/><Relationship Id="rId6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EcDQy3SW3T-sDLDTm3J8ZNbvy3oqTl3avOeL6syrKMA/edit?gid=302221325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/>
  <cols>
    <col customWidth="1" min="1" max="1" width="26.5"/>
    <col customWidth="1" min="2" max="2" width="25.0"/>
    <col customWidth="1" min="3" max="3" width="40.63"/>
    <col customWidth="1" min="4" max="4" width="32.13"/>
  </cols>
  <sheetData>
    <row r="1">
      <c r="A1" s="1" t="s">
        <v>0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1</v>
      </c>
      <c r="B3" s="5" t="s">
        <v>2</v>
      </c>
      <c r="C3" s="5" t="s">
        <v>3</v>
      </c>
      <c r="D3" s="5" t="s">
        <v>4</v>
      </c>
      <c r="E3" s="2"/>
      <c r="F3" s="2"/>
    </row>
    <row r="4">
      <c r="A4" s="6">
        <v>0.1</v>
      </c>
      <c r="B4" s="7" t="s">
        <v>5</v>
      </c>
      <c r="C4" s="8" t="s">
        <v>6</v>
      </c>
      <c r="D4" s="9">
        <v>46199.0</v>
      </c>
      <c r="E4" s="2"/>
      <c r="F4" s="2"/>
    </row>
    <row r="5">
      <c r="A5" s="6">
        <v>1.0</v>
      </c>
      <c r="B5" s="7" t="s">
        <v>7</v>
      </c>
      <c r="C5" s="7"/>
      <c r="D5" s="10"/>
      <c r="E5" s="2"/>
      <c r="F5" s="2"/>
    </row>
    <row r="6">
      <c r="A6" s="11"/>
      <c r="B6" s="11"/>
      <c r="C6" s="12"/>
      <c r="D6" s="11"/>
      <c r="E6" s="12"/>
      <c r="F6" s="12"/>
    </row>
    <row r="7">
      <c r="A7" s="13" t="s">
        <v>8</v>
      </c>
      <c r="B7" s="14"/>
      <c r="C7" s="15"/>
      <c r="D7" s="14"/>
      <c r="E7" s="15"/>
      <c r="F7" s="15"/>
    </row>
    <row r="8">
      <c r="A8" s="16"/>
      <c r="B8" s="16"/>
      <c r="C8" s="16"/>
      <c r="D8" s="16"/>
      <c r="E8" s="16"/>
      <c r="F8" s="11"/>
    </row>
    <row r="9">
      <c r="A9" s="17" t="s">
        <v>9</v>
      </c>
      <c r="B9" s="18" t="s">
        <v>10</v>
      </c>
      <c r="C9" s="18" t="s">
        <v>11</v>
      </c>
      <c r="D9" s="18" t="s">
        <v>12</v>
      </c>
      <c r="E9" s="18" t="s">
        <v>8</v>
      </c>
      <c r="F9" s="18" t="s">
        <v>13</v>
      </c>
    </row>
    <row r="10">
      <c r="A10" s="19" t="s">
        <v>14</v>
      </c>
      <c r="B10" s="20" t="s">
        <v>15</v>
      </c>
      <c r="C10" s="19" t="s">
        <v>16</v>
      </c>
      <c r="D10" s="20" t="s">
        <v>17</v>
      </c>
      <c r="E10" s="19" t="s">
        <v>16</v>
      </c>
      <c r="F10" s="9">
        <v>46199.0</v>
      </c>
    </row>
    <row r="11">
      <c r="A11" s="19" t="s">
        <v>14</v>
      </c>
      <c r="B11" s="20" t="s">
        <v>18</v>
      </c>
      <c r="C11" s="19" t="s">
        <v>19</v>
      </c>
      <c r="D11" s="20" t="s">
        <v>17</v>
      </c>
      <c r="E11" s="19" t="s">
        <v>19</v>
      </c>
      <c r="F11" s="9">
        <v>46199.0</v>
      </c>
    </row>
    <row r="12">
      <c r="A12" s="19" t="s">
        <v>14</v>
      </c>
      <c r="B12" s="19" t="s">
        <v>20</v>
      </c>
      <c r="C12" s="19"/>
      <c r="D12" s="20" t="s">
        <v>17</v>
      </c>
      <c r="E12" s="19"/>
      <c r="F12" s="9">
        <v>46199.0</v>
      </c>
    </row>
    <row r="13">
      <c r="A13" s="19" t="s">
        <v>14</v>
      </c>
      <c r="B13" s="20" t="s">
        <v>21</v>
      </c>
      <c r="C13" s="19" t="s">
        <v>22</v>
      </c>
      <c r="D13" s="20" t="s">
        <v>17</v>
      </c>
      <c r="E13" s="19" t="s">
        <v>22</v>
      </c>
      <c r="F13" s="9">
        <v>46199.0</v>
      </c>
    </row>
    <row r="14">
      <c r="A14" s="19" t="s">
        <v>14</v>
      </c>
      <c r="B14" s="19" t="s">
        <v>23</v>
      </c>
      <c r="C14" s="19" t="s">
        <v>22</v>
      </c>
      <c r="D14" s="20" t="s">
        <v>17</v>
      </c>
      <c r="E14" s="19" t="s">
        <v>22</v>
      </c>
      <c r="F14" s="9">
        <v>46199.0</v>
      </c>
    </row>
    <row r="15">
      <c r="A15" s="19" t="s">
        <v>14</v>
      </c>
      <c r="B15" s="20" t="s">
        <v>24</v>
      </c>
      <c r="C15" s="8" t="s">
        <v>6</v>
      </c>
      <c r="D15" s="20" t="s">
        <v>17</v>
      </c>
      <c r="E15" s="8" t="s">
        <v>6</v>
      </c>
      <c r="F15" s="9">
        <v>46199.0</v>
      </c>
    </row>
    <row r="16">
      <c r="A16" s="19" t="s">
        <v>14</v>
      </c>
      <c r="B16" s="19" t="s">
        <v>25</v>
      </c>
      <c r="C16" s="8" t="s">
        <v>26</v>
      </c>
      <c r="D16" s="20" t="s">
        <v>17</v>
      </c>
      <c r="E16" s="8" t="s">
        <v>26</v>
      </c>
      <c r="F16" s="9">
        <v>46199.0</v>
      </c>
    </row>
    <row r="17">
      <c r="A17" s="11"/>
      <c r="B17" s="11"/>
      <c r="C17" s="11"/>
      <c r="D17" s="11"/>
      <c r="E17" s="21"/>
      <c r="F17" s="11"/>
    </row>
    <row r="18">
      <c r="A18" s="11"/>
      <c r="B18" s="11"/>
      <c r="C18" s="11"/>
      <c r="D18" s="11"/>
      <c r="E18" s="21"/>
      <c r="F18" s="11"/>
    </row>
  </sheetData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0" outlineLevelCol="1" outlineLevelRow="1"/>
  <cols>
    <col customWidth="1" min="1" max="1" width="34.88"/>
    <col customWidth="1" min="2" max="2" width="20.38"/>
    <col customWidth="1" min="3" max="3" width="16.88"/>
    <col customWidth="1" min="4" max="4" width="14.38"/>
    <col customWidth="1" min="5" max="5" width="16.88"/>
    <col customWidth="1" min="6" max="6" width="15.63"/>
    <col customWidth="1" min="7" max="9" width="14.5"/>
    <col customWidth="1" min="10" max="10" width="18.0"/>
    <col customWidth="1" min="11" max="17" width="14.5"/>
    <col customWidth="1" min="18" max="18" width="14.5" outlineLevel="1"/>
    <col customWidth="1" min="19" max="19" width="23.25" outlineLevel="1"/>
    <col customWidth="1" min="20" max="63" width="14.5" outlineLevel="1"/>
  </cols>
  <sheetData>
    <row r="1">
      <c r="A1" s="22" t="s">
        <v>27</v>
      </c>
      <c r="B1" s="23"/>
      <c r="C1" s="24"/>
      <c r="D1" s="25"/>
      <c r="E1" s="25"/>
      <c r="F1" s="25"/>
      <c r="G1" s="25"/>
      <c r="H1" s="25"/>
      <c r="I1" s="25"/>
      <c r="J1" s="25"/>
      <c r="K1" s="25"/>
      <c r="L1" s="25"/>
      <c r="M1" s="26"/>
      <c r="N1" s="26"/>
      <c r="O1" s="26"/>
      <c r="P1" s="23"/>
      <c r="Q1" s="23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  <c r="AH1" s="27"/>
      <c r="AI1" s="27"/>
      <c r="AJ1" s="27"/>
      <c r="AK1" s="27"/>
      <c r="AL1" s="27"/>
      <c r="AM1" s="27"/>
      <c r="AN1" s="27"/>
      <c r="AO1" s="27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7"/>
      <c r="BF1" s="27"/>
      <c r="BG1" s="27"/>
      <c r="BH1" s="27"/>
      <c r="BI1" s="27"/>
      <c r="BJ1" s="27"/>
      <c r="BK1" s="27"/>
    </row>
    <row r="2">
      <c r="A2" s="28"/>
      <c r="B2" s="29"/>
      <c r="C2" s="30"/>
      <c r="D2" s="28"/>
      <c r="E2" s="28"/>
      <c r="F2" s="28"/>
      <c r="G2" s="28"/>
      <c r="H2" s="28"/>
      <c r="I2" s="28"/>
      <c r="J2" s="28"/>
      <c r="K2" s="28"/>
      <c r="L2" s="28"/>
      <c r="M2" s="31"/>
      <c r="N2" s="31"/>
      <c r="O2" s="31"/>
      <c r="P2" s="29"/>
      <c r="Q2" s="29"/>
      <c r="R2" s="29"/>
      <c r="S2" s="30"/>
      <c r="T2" s="30"/>
      <c r="U2" s="3"/>
      <c r="V2" s="3"/>
      <c r="W2" s="3"/>
      <c r="X2" s="3"/>
      <c r="Y2" s="32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  <c r="AU2" s="29"/>
      <c r="AV2" s="29"/>
      <c r="AW2" s="29"/>
      <c r="AX2" s="29"/>
      <c r="AY2" s="29"/>
      <c r="AZ2" s="29"/>
      <c r="BA2" s="29"/>
      <c r="BB2" s="29"/>
      <c r="BC2" s="29"/>
      <c r="BD2" s="29"/>
      <c r="BE2" s="29"/>
      <c r="BF2" s="29"/>
      <c r="BG2" s="29"/>
      <c r="BH2" s="29"/>
      <c r="BI2" s="29"/>
      <c r="BJ2" s="29"/>
      <c r="BK2" s="29"/>
    </row>
    <row r="3">
      <c r="A3" s="33" t="s">
        <v>28</v>
      </c>
      <c r="B3" s="34">
        <v>2.026004E7</v>
      </c>
      <c r="C3" s="35"/>
      <c r="D3" s="36"/>
      <c r="E3" s="28"/>
      <c r="F3" s="28"/>
      <c r="G3" s="28"/>
      <c r="H3" s="28"/>
      <c r="I3" s="28"/>
      <c r="J3" s="28"/>
      <c r="K3" s="28"/>
      <c r="L3" s="28"/>
      <c r="M3" s="31"/>
      <c r="N3" s="31"/>
      <c r="O3" s="31"/>
      <c r="P3" s="29"/>
      <c r="Q3" s="29"/>
      <c r="R3" s="29"/>
      <c r="S3" s="30"/>
      <c r="T3" s="30"/>
      <c r="U3" s="3"/>
      <c r="V3" s="3"/>
      <c r="W3" s="3"/>
      <c r="X3" s="3"/>
      <c r="Y3" s="37"/>
      <c r="Z3" s="38"/>
      <c r="AA3" s="29"/>
      <c r="AB3" s="29"/>
      <c r="AC3" s="29"/>
      <c r="AD3" s="29"/>
      <c r="AE3" s="29"/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  <c r="AU3" s="29"/>
      <c r="AV3" s="29"/>
      <c r="AW3" s="29"/>
      <c r="AX3" s="29"/>
      <c r="AY3" s="29"/>
      <c r="AZ3" s="29"/>
      <c r="BA3" s="29"/>
      <c r="BB3" s="29"/>
      <c r="BC3" s="29"/>
      <c r="BD3" s="29"/>
      <c r="BE3" s="29"/>
      <c r="BF3" s="29"/>
      <c r="BG3" s="29"/>
      <c r="BH3" s="29"/>
      <c r="BI3" s="29"/>
      <c r="BJ3" s="29"/>
      <c r="BK3" s="29"/>
    </row>
    <row r="4">
      <c r="A4" s="39" t="s">
        <v>29</v>
      </c>
      <c r="B4" s="40" t="s">
        <v>30</v>
      </c>
      <c r="C4" s="35"/>
      <c r="D4" s="36"/>
      <c r="E4" s="28"/>
      <c r="F4" s="28"/>
      <c r="G4" s="28"/>
      <c r="H4" s="28"/>
      <c r="I4" s="28"/>
      <c r="J4" s="28"/>
      <c r="K4" s="28"/>
      <c r="L4" s="28"/>
      <c r="M4" s="31"/>
      <c r="N4" s="31"/>
      <c r="O4" s="31"/>
      <c r="P4" s="29"/>
      <c r="Q4" s="29"/>
      <c r="R4" s="29"/>
      <c r="S4" s="30"/>
      <c r="T4" s="30"/>
      <c r="U4" s="3"/>
      <c r="V4" s="3"/>
      <c r="W4" s="3"/>
      <c r="X4" s="3"/>
      <c r="Y4" s="37"/>
      <c r="Z4" s="38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</row>
    <row r="5">
      <c r="A5" s="41" t="s">
        <v>31</v>
      </c>
      <c r="B5" s="40" t="s">
        <v>32</v>
      </c>
      <c r="C5" s="35"/>
      <c r="D5" s="36"/>
      <c r="E5" s="28"/>
      <c r="F5" s="28"/>
      <c r="G5" s="28"/>
      <c r="H5" s="28"/>
      <c r="I5" s="28"/>
      <c r="J5" s="28"/>
      <c r="K5" s="28"/>
      <c r="L5" s="28"/>
      <c r="M5" s="31"/>
      <c r="N5" s="31"/>
      <c r="O5" s="31"/>
      <c r="P5" s="29"/>
      <c r="Q5" s="29"/>
      <c r="R5" s="29"/>
      <c r="S5" s="30"/>
      <c r="T5" s="30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</row>
    <row r="6">
      <c r="A6" s="39" t="s">
        <v>33</v>
      </c>
      <c r="B6" s="42" t="s">
        <v>34</v>
      </c>
      <c r="C6" s="43"/>
      <c r="D6" s="44"/>
      <c r="E6" s="28"/>
      <c r="F6" s="28"/>
      <c r="G6" s="28"/>
      <c r="H6" s="28"/>
      <c r="I6" s="28"/>
      <c r="J6" s="28"/>
      <c r="K6" s="28"/>
      <c r="L6" s="28"/>
      <c r="M6" s="31"/>
      <c r="N6" s="31"/>
      <c r="O6" s="31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</row>
    <row r="7">
      <c r="A7" s="45" t="s">
        <v>35</v>
      </c>
      <c r="B7" s="46">
        <f>today()</f>
        <v>46205</v>
      </c>
      <c r="C7" s="47"/>
      <c r="D7" s="48"/>
      <c r="E7" s="28"/>
      <c r="F7" s="28"/>
      <c r="G7" s="28"/>
      <c r="H7" s="28"/>
      <c r="I7" s="28"/>
      <c r="J7" s="28"/>
      <c r="K7" s="28"/>
      <c r="L7" s="28"/>
      <c r="M7" s="31"/>
      <c r="N7" s="31"/>
      <c r="O7" s="31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</row>
    <row r="8">
      <c r="A8" s="49" t="s">
        <v>36</v>
      </c>
      <c r="B8" s="46">
        <v>46199.0</v>
      </c>
      <c r="C8" s="50" t="s">
        <v>37</v>
      </c>
      <c r="D8" s="51">
        <v>46204.0</v>
      </c>
      <c r="E8" s="28"/>
      <c r="F8" s="28"/>
      <c r="G8" s="28"/>
      <c r="H8" s="28"/>
      <c r="I8" s="28"/>
      <c r="J8" s="28"/>
      <c r="K8" s="28"/>
      <c r="L8" s="28"/>
      <c r="M8" s="31"/>
      <c r="N8" s="31"/>
      <c r="O8" s="31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</row>
    <row r="9">
      <c r="A9" s="49" t="s">
        <v>38</v>
      </c>
      <c r="B9" s="52">
        <v>46199.0</v>
      </c>
      <c r="C9" s="53" t="s">
        <v>37</v>
      </c>
      <c r="D9" s="54"/>
      <c r="E9" s="29"/>
      <c r="F9" s="31"/>
      <c r="G9" s="28"/>
      <c r="H9" s="28"/>
      <c r="I9" s="31"/>
      <c r="J9" s="31"/>
      <c r="K9" s="31"/>
      <c r="L9" s="31"/>
      <c r="M9" s="31"/>
      <c r="N9" s="31"/>
      <c r="O9" s="31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F9" s="29"/>
      <c r="BG9" s="29"/>
      <c r="BH9" s="29"/>
      <c r="BI9" s="29"/>
      <c r="BJ9" s="29"/>
      <c r="BK9" s="29"/>
    </row>
    <row r="10">
      <c r="A10" s="29"/>
      <c r="B10" s="3"/>
      <c r="C10" s="3"/>
      <c r="D10" s="3"/>
      <c r="E10" s="3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F10" s="29"/>
      <c r="BG10" s="29"/>
      <c r="BH10" s="29"/>
      <c r="BI10" s="29"/>
      <c r="BJ10" s="29"/>
      <c r="BK10" s="29"/>
    </row>
    <row r="11">
      <c r="A11" s="55" t="s">
        <v>39</v>
      </c>
      <c r="B11" s="56" t="s">
        <v>40</v>
      </c>
      <c r="C11" s="55" t="s">
        <v>41</v>
      </c>
      <c r="D11" s="56" t="s">
        <v>42</v>
      </c>
      <c r="E11" s="57" t="s">
        <v>43</v>
      </c>
      <c r="F11" s="57" t="s">
        <v>44</v>
      </c>
      <c r="G11" s="58"/>
      <c r="H11" s="59"/>
      <c r="I11" s="60"/>
      <c r="J11" s="60"/>
      <c r="K11" s="28"/>
      <c r="L11" s="28"/>
      <c r="M11" s="28"/>
      <c r="N11" s="28"/>
      <c r="O11" s="28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</row>
    <row r="12">
      <c r="A12" s="61">
        <f>networkdays(B8, D8, Var!I2:I130)</f>
        <v>4</v>
      </c>
      <c r="B12" s="61">
        <f>networkdays(B9, B7, Var!I2:I130)</f>
        <v>5</v>
      </c>
      <c r="C12" s="61">
        <f>A12-B12</f>
        <v>-1</v>
      </c>
      <c r="D12" s="62">
        <f>B78</f>
        <v>1</v>
      </c>
      <c r="E12" s="63">
        <f>min(1, iferror((A12-C12)/A12, 0))</f>
        <v>1</v>
      </c>
      <c r="F12" s="63">
        <f>E90</f>
        <v>0.75</v>
      </c>
      <c r="G12" s="58"/>
      <c r="H12" s="3"/>
      <c r="I12" s="11"/>
      <c r="J12" s="11"/>
      <c r="K12" s="31"/>
      <c r="L12" s="31"/>
      <c r="M12" s="31"/>
      <c r="N12" s="31"/>
      <c r="O12" s="31"/>
      <c r="P12" s="29"/>
      <c r="Q12" s="29"/>
      <c r="R12" s="29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/>
      <c r="BG12" s="29"/>
      <c r="BH12" s="29"/>
      <c r="BI12" s="29"/>
      <c r="BJ12" s="29"/>
      <c r="BK12" s="29"/>
    </row>
    <row r="13">
      <c r="A13" s="29"/>
      <c r="B13" s="29"/>
      <c r="C13" s="29"/>
      <c r="D13" s="29"/>
      <c r="E13" s="29"/>
      <c r="F13" s="31"/>
      <c r="G13" s="31"/>
      <c r="H13" s="31"/>
      <c r="I13" s="11"/>
      <c r="J13" s="11"/>
      <c r="K13" s="31"/>
      <c r="L13" s="31"/>
      <c r="M13" s="31"/>
      <c r="N13" s="31"/>
      <c r="O13" s="31"/>
      <c r="P13" s="29"/>
      <c r="Q13" s="29"/>
      <c r="R13" s="29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F13" s="29"/>
      <c r="BG13" s="29"/>
      <c r="BH13" s="29"/>
      <c r="BI13" s="29"/>
      <c r="BJ13" s="29"/>
      <c r="BK13" s="29"/>
    </row>
    <row r="14">
      <c r="A14" s="64"/>
      <c r="B14" s="64"/>
      <c r="C14" s="64"/>
      <c r="D14" s="64"/>
      <c r="E14" s="64"/>
      <c r="F14" s="64"/>
      <c r="G14" s="64"/>
      <c r="H14" s="64"/>
      <c r="I14" s="65"/>
      <c r="J14" s="3"/>
      <c r="K14" s="65"/>
      <c r="L14" s="65"/>
      <c r="M14" s="65"/>
      <c r="N14" s="65"/>
      <c r="O14" s="65"/>
      <c r="P14" s="65"/>
      <c r="Q14" s="65"/>
      <c r="R14" s="65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</row>
    <row r="15">
      <c r="A15" s="64"/>
      <c r="B15" s="64"/>
      <c r="C15" s="64"/>
      <c r="D15" s="64"/>
      <c r="E15" s="64"/>
      <c r="F15" s="64"/>
      <c r="G15" s="64"/>
      <c r="H15" s="64"/>
      <c r="I15" s="65"/>
      <c r="J15" s="3"/>
      <c r="K15" s="65"/>
      <c r="L15" s="65"/>
      <c r="M15" s="65"/>
      <c r="N15" s="65"/>
      <c r="O15" s="65"/>
      <c r="P15" s="65"/>
      <c r="Q15" s="65"/>
      <c r="R15" s="65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>
      <c r="A16" s="64"/>
      <c r="B16" s="64"/>
      <c r="C16" s="64"/>
      <c r="D16" s="64"/>
      <c r="E16" s="64"/>
      <c r="F16" s="64"/>
      <c r="G16" s="64"/>
      <c r="H16" s="64"/>
      <c r="I16" s="65"/>
      <c r="J16" s="3"/>
      <c r="K16" s="65"/>
      <c r="L16" s="65"/>
      <c r="M16" s="65"/>
      <c r="N16" s="65"/>
      <c r="O16" s="65"/>
      <c r="P16" s="65"/>
      <c r="Q16" s="65"/>
      <c r="R16" s="65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>
      <c r="A17" s="64"/>
      <c r="B17" s="64"/>
      <c r="C17" s="64"/>
      <c r="D17" s="64"/>
      <c r="E17" s="64"/>
      <c r="F17" s="64"/>
      <c r="G17" s="64"/>
      <c r="H17" s="64"/>
      <c r="I17" s="65"/>
      <c r="J17" s="3"/>
      <c r="K17" s="65"/>
      <c r="L17" s="65"/>
      <c r="M17" s="65"/>
      <c r="N17" s="65"/>
      <c r="O17" s="65"/>
      <c r="P17" s="65"/>
      <c r="Q17" s="65"/>
      <c r="R17" s="65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>
      <c r="A18" s="66" t="s">
        <v>45</v>
      </c>
      <c r="I18" s="65"/>
      <c r="J18" s="3"/>
      <c r="K18" s="65"/>
      <c r="L18" s="65"/>
      <c r="M18" s="65"/>
      <c r="N18" s="65"/>
      <c r="O18" s="65"/>
      <c r="P18" s="65"/>
      <c r="Q18" s="65"/>
      <c r="R18" s="65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>
      <c r="A19" s="38"/>
      <c r="B19" s="64"/>
      <c r="C19" s="64"/>
      <c r="D19" s="64"/>
      <c r="E19" s="64"/>
      <c r="F19" s="64"/>
      <c r="G19" s="64"/>
      <c r="H19" s="64"/>
      <c r="I19" s="65"/>
      <c r="J19" s="3"/>
      <c r="K19" s="65"/>
      <c r="L19" s="65"/>
      <c r="M19" s="65"/>
      <c r="N19" s="65"/>
      <c r="O19" s="65"/>
      <c r="P19" s="65"/>
      <c r="Q19" s="65"/>
      <c r="R19" s="65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>
      <c r="A20" s="67"/>
      <c r="B20" s="67"/>
      <c r="C20" s="67"/>
      <c r="D20" s="67"/>
      <c r="E20" s="67"/>
      <c r="F20" s="67"/>
      <c r="G20" s="67"/>
      <c r="H20" s="64"/>
      <c r="I20" s="65"/>
      <c r="J20" s="3"/>
      <c r="K20" s="65"/>
      <c r="L20" s="65"/>
      <c r="M20" s="65"/>
      <c r="N20" s="65"/>
      <c r="O20" s="65"/>
      <c r="P20" s="65"/>
      <c r="Q20" s="65"/>
      <c r="R20" s="65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>
      <c r="A21" s="68" t="s">
        <v>46</v>
      </c>
      <c r="I21" s="65"/>
      <c r="J21" s="3"/>
      <c r="K21" s="65"/>
      <c r="L21" s="65"/>
      <c r="M21" s="65"/>
      <c r="N21" s="65"/>
      <c r="O21" s="65"/>
      <c r="P21" s="65"/>
      <c r="Q21" s="65"/>
      <c r="R21" s="65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  <row r="22">
      <c r="A22" s="38"/>
      <c r="B22" s="64"/>
      <c r="C22" s="64"/>
      <c r="D22" s="64"/>
      <c r="E22" s="64"/>
      <c r="F22" s="64"/>
      <c r="G22" s="64"/>
      <c r="H22" s="64"/>
      <c r="I22" s="65"/>
      <c r="J22" s="3"/>
      <c r="K22" s="65"/>
      <c r="L22" s="65"/>
      <c r="M22" s="65"/>
      <c r="N22" s="65"/>
      <c r="O22" s="65"/>
      <c r="P22" s="65"/>
      <c r="Q22" s="65"/>
      <c r="R22" s="65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>
      <c r="A23" s="3"/>
      <c r="B23" s="3"/>
      <c r="C23" s="3"/>
      <c r="D23" s="3"/>
      <c r="E23" s="3"/>
      <c r="F23" s="65"/>
      <c r="G23" s="65"/>
      <c r="H23" s="29"/>
      <c r="I23" s="65"/>
      <c r="J23" s="3"/>
      <c r="K23" s="65"/>
      <c r="L23" s="65"/>
      <c r="M23" s="65"/>
      <c r="N23" s="65"/>
      <c r="O23" s="65"/>
      <c r="P23" s="65"/>
      <c r="Q23" s="65"/>
      <c r="R23" s="65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</row>
    <row r="24">
      <c r="A24" s="69" t="s">
        <v>47</v>
      </c>
      <c r="B24" s="70"/>
      <c r="C24" s="71"/>
      <c r="D24" s="72"/>
      <c r="E24" s="72"/>
      <c r="F24" s="72"/>
      <c r="G24" s="72"/>
      <c r="H24" s="72"/>
      <c r="I24" s="73"/>
      <c r="J24" s="74"/>
      <c r="K24" s="73"/>
      <c r="L24" s="73"/>
      <c r="M24" s="73"/>
      <c r="N24" s="73"/>
      <c r="O24" s="73"/>
      <c r="P24" s="73"/>
      <c r="Q24" s="73"/>
      <c r="R24" s="73"/>
      <c r="S24" s="74"/>
      <c r="T24" s="74"/>
      <c r="U24" s="74"/>
      <c r="V24" s="74"/>
      <c r="W24" s="74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  <c r="AI24" s="74"/>
      <c r="AJ24" s="74"/>
      <c r="AK24" s="74"/>
      <c r="AL24" s="74"/>
      <c r="AM24" s="74"/>
      <c r="AN24" s="74"/>
      <c r="AO24" s="74"/>
      <c r="AP24" s="74"/>
      <c r="AQ24" s="74"/>
      <c r="AR24" s="74"/>
      <c r="AS24" s="74"/>
      <c r="AT24" s="74"/>
      <c r="AU24" s="74"/>
      <c r="AV24" s="74"/>
      <c r="AW24" s="74"/>
      <c r="AX24" s="74"/>
      <c r="AY24" s="74"/>
      <c r="AZ24" s="74"/>
      <c r="BA24" s="74"/>
      <c r="BB24" s="74"/>
      <c r="BC24" s="74"/>
      <c r="BD24" s="74"/>
      <c r="BE24" s="74"/>
      <c r="BF24" s="74"/>
      <c r="BG24" s="74"/>
      <c r="BH24" s="74"/>
      <c r="BI24" s="74"/>
      <c r="BJ24" s="74"/>
      <c r="BK24" s="74"/>
    </row>
    <row r="25">
      <c r="A25" s="75" t="s">
        <v>48</v>
      </c>
      <c r="B25" s="76" t="s">
        <v>49</v>
      </c>
      <c r="C25" s="75" t="s">
        <v>50</v>
      </c>
      <c r="D25" s="77" t="s">
        <v>51</v>
      </c>
      <c r="E25" s="76" t="s">
        <v>52</v>
      </c>
      <c r="F25" s="77" t="s">
        <v>53</v>
      </c>
      <c r="G25" s="77" t="s">
        <v>54</v>
      </c>
      <c r="H25" s="77" t="s">
        <v>55</v>
      </c>
      <c r="I25" s="78"/>
      <c r="J25" s="78"/>
      <c r="K25" s="78"/>
      <c r="L25" s="78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</row>
    <row r="26">
      <c r="A26" s="80">
        <v>1.0</v>
      </c>
      <c r="B26" s="80"/>
      <c r="C26" s="80"/>
      <c r="D26" s="81"/>
      <c r="E26" s="80"/>
      <c r="F26" s="82"/>
      <c r="G26" s="83"/>
      <c r="H26" s="82"/>
      <c r="I26" s="59"/>
      <c r="J26" s="59"/>
      <c r="K26" s="60"/>
      <c r="L26" s="6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</row>
    <row r="27">
      <c r="A27" s="80">
        <v>2.0</v>
      </c>
      <c r="B27" s="82"/>
      <c r="C27" s="82"/>
      <c r="D27" s="81"/>
      <c r="E27" s="81"/>
      <c r="F27" s="82"/>
      <c r="G27" s="83"/>
      <c r="H27" s="82"/>
      <c r="I27" s="3"/>
      <c r="J27" s="3"/>
      <c r="K27" s="11"/>
      <c r="L27" s="11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F27" s="29"/>
      <c r="BG27" s="29"/>
      <c r="BH27" s="29"/>
      <c r="BI27" s="29"/>
      <c r="BJ27" s="29"/>
      <c r="BK27" s="29"/>
    </row>
    <row r="28">
      <c r="A28" s="80">
        <v>3.0</v>
      </c>
      <c r="B28" s="82"/>
      <c r="C28" s="82"/>
      <c r="D28" s="81"/>
      <c r="E28" s="81"/>
      <c r="F28" s="82"/>
      <c r="G28" s="83"/>
      <c r="H28" s="82"/>
      <c r="I28" s="3"/>
      <c r="J28" s="3"/>
      <c r="K28" s="11"/>
      <c r="L28" s="11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</row>
    <row r="29">
      <c r="A29" s="80">
        <v>4.0</v>
      </c>
      <c r="B29" s="82"/>
      <c r="C29" s="82"/>
      <c r="D29" s="81"/>
      <c r="E29" s="81"/>
      <c r="F29" s="82"/>
      <c r="G29" s="83"/>
      <c r="H29" s="82"/>
      <c r="I29" s="3"/>
      <c r="J29" s="3"/>
      <c r="K29" s="11"/>
      <c r="L29" s="11"/>
      <c r="M29" s="31"/>
      <c r="N29" s="31"/>
      <c r="O29" s="31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</row>
    <row r="30">
      <c r="A30" s="29"/>
      <c r="B30" s="29"/>
      <c r="C30" s="29"/>
      <c r="D30" s="29"/>
      <c r="E30" s="29"/>
      <c r="F30" s="31"/>
      <c r="G30" s="31"/>
      <c r="H30" s="31"/>
      <c r="I30" s="11"/>
      <c r="J30" s="11"/>
      <c r="K30" s="31"/>
      <c r="L30" s="31"/>
      <c r="M30" s="31"/>
      <c r="N30" s="31"/>
      <c r="O30" s="31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</row>
    <row r="31">
      <c r="A31" s="84" t="s">
        <v>56</v>
      </c>
      <c r="B31" s="85"/>
      <c r="C31" s="85"/>
      <c r="D31" s="85"/>
      <c r="E31" s="85"/>
      <c r="F31" s="85"/>
      <c r="G31" s="86"/>
      <c r="H31" s="86"/>
      <c r="I31" s="86"/>
      <c r="J31" s="86"/>
      <c r="K31" s="86"/>
      <c r="L31" s="86"/>
      <c r="M31" s="86"/>
      <c r="N31" s="86"/>
      <c r="O31" s="86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  <c r="AA31" s="85"/>
      <c r="AB31" s="85"/>
      <c r="AC31" s="85"/>
      <c r="AD31" s="85"/>
      <c r="AE31" s="85"/>
      <c r="AF31" s="85"/>
      <c r="AG31" s="85"/>
      <c r="AH31" s="85"/>
      <c r="AI31" s="85"/>
      <c r="AJ31" s="85"/>
      <c r="AK31" s="85"/>
      <c r="AL31" s="85"/>
      <c r="AM31" s="85"/>
      <c r="AN31" s="85"/>
      <c r="AO31" s="85"/>
      <c r="AP31" s="85"/>
      <c r="AQ31" s="85"/>
      <c r="AR31" s="85"/>
      <c r="AS31" s="85"/>
      <c r="AT31" s="85"/>
      <c r="AU31" s="85"/>
      <c r="AV31" s="85"/>
      <c r="AW31" s="85"/>
      <c r="AX31" s="85"/>
      <c r="AY31" s="85"/>
      <c r="AZ31" s="85"/>
      <c r="BA31" s="85"/>
      <c r="BB31" s="85"/>
      <c r="BC31" s="85"/>
      <c r="BD31" s="85"/>
      <c r="BE31" s="85"/>
      <c r="BF31" s="85"/>
      <c r="BG31" s="85"/>
      <c r="BH31" s="85"/>
      <c r="BI31" s="85"/>
      <c r="BJ31" s="85"/>
      <c r="BK31" s="85"/>
    </row>
    <row r="32">
      <c r="A32" s="29"/>
      <c r="B32" s="29"/>
      <c r="C32" s="29"/>
      <c r="D32" s="29"/>
      <c r="E32" s="29"/>
      <c r="F32" s="31"/>
      <c r="G32" s="31"/>
      <c r="H32" s="31"/>
      <c r="I32" s="11"/>
      <c r="J32" s="11"/>
      <c r="K32" s="31"/>
      <c r="L32" s="31"/>
      <c r="M32" s="31"/>
      <c r="N32" s="31"/>
      <c r="O32" s="31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</row>
    <row r="33">
      <c r="A33" s="29"/>
      <c r="B33" s="29"/>
      <c r="C33" s="29"/>
      <c r="D33" s="29"/>
      <c r="E33" s="29"/>
      <c r="F33" s="31"/>
      <c r="G33" s="31"/>
      <c r="H33" s="31"/>
      <c r="I33" s="11"/>
      <c r="J33" s="11"/>
      <c r="K33" s="31"/>
      <c r="L33" s="31"/>
      <c r="M33" s="31"/>
      <c r="N33" s="31"/>
      <c r="O33" s="31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</row>
    <row r="34">
      <c r="A34" s="29"/>
      <c r="B34" s="29"/>
      <c r="C34" s="29"/>
      <c r="D34" s="29"/>
      <c r="E34" s="29"/>
      <c r="F34" s="31"/>
      <c r="G34" s="31"/>
      <c r="H34" s="31"/>
      <c r="I34" s="11"/>
      <c r="J34" s="11"/>
      <c r="K34" s="31"/>
      <c r="L34" s="31"/>
      <c r="M34" s="31"/>
      <c r="N34" s="31"/>
      <c r="O34" s="31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</row>
    <row r="35">
      <c r="A35" s="29"/>
      <c r="B35" s="29"/>
      <c r="C35" s="29"/>
      <c r="D35" s="29"/>
      <c r="E35" s="29"/>
      <c r="F35" s="31"/>
      <c r="G35" s="31"/>
      <c r="H35" s="31"/>
      <c r="I35" s="11"/>
      <c r="J35" s="11"/>
      <c r="K35" s="31"/>
      <c r="L35" s="31"/>
      <c r="M35" s="31"/>
      <c r="N35" s="31"/>
      <c r="O35" s="31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</row>
    <row r="36">
      <c r="A36" s="29"/>
      <c r="B36" s="29"/>
      <c r="C36" s="29"/>
      <c r="D36" s="29"/>
      <c r="E36" s="29"/>
      <c r="F36" s="31"/>
      <c r="G36" s="31"/>
      <c r="H36" s="31"/>
      <c r="I36" s="31"/>
      <c r="J36" s="31"/>
      <c r="K36" s="3"/>
      <c r="L36" s="3"/>
      <c r="M36" s="3"/>
      <c r="N36" s="3"/>
      <c r="O36" s="3"/>
      <c r="P36" s="3"/>
      <c r="Q36" s="3"/>
      <c r="R36" s="87" t="s">
        <v>57</v>
      </c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A36" s="29"/>
      <c r="BB36" s="29"/>
      <c r="BC36" s="29"/>
      <c r="BD36" s="29"/>
      <c r="BE36" s="29"/>
      <c r="BF36" s="29"/>
      <c r="BG36" s="29"/>
      <c r="BH36" s="29"/>
      <c r="BI36" s="29"/>
      <c r="BJ36" s="29"/>
      <c r="BK36" s="29"/>
    </row>
    <row r="37">
      <c r="A37" s="29"/>
      <c r="B37" s="29"/>
      <c r="C37" s="29"/>
      <c r="D37" s="29"/>
      <c r="E37" s="29"/>
      <c r="F37" s="31"/>
      <c r="G37" s="31"/>
      <c r="H37" s="31"/>
      <c r="I37" s="31"/>
      <c r="J37" s="31"/>
      <c r="K37" s="3"/>
      <c r="L37" s="3"/>
      <c r="M37" s="3"/>
      <c r="N37" s="3"/>
      <c r="O37" s="3"/>
      <c r="P37" s="3"/>
      <c r="Q37" s="3"/>
      <c r="R37" s="88" t="s">
        <v>58</v>
      </c>
      <c r="S37" s="89" t="s">
        <v>59</v>
      </c>
      <c r="T37" s="90" t="s">
        <v>60</v>
      </c>
      <c r="U37" s="91" t="s">
        <v>61</v>
      </c>
      <c r="V37" s="90" t="s">
        <v>62</v>
      </c>
      <c r="W37" s="90" t="s">
        <v>63</v>
      </c>
      <c r="X37" s="90" t="s">
        <v>64</v>
      </c>
      <c r="Y37" s="90" t="s">
        <v>65</v>
      </c>
      <c r="Z37" s="90" t="s">
        <v>66</v>
      </c>
      <c r="AA37" s="91" t="s">
        <v>67</v>
      </c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  <c r="BF37" s="29"/>
      <c r="BG37" s="29"/>
      <c r="BH37" s="29"/>
      <c r="BI37" s="29"/>
      <c r="BJ37" s="29"/>
      <c r="BK37" s="29"/>
    </row>
    <row r="38">
      <c r="A38" s="29"/>
      <c r="B38" s="29"/>
      <c r="C38" s="29"/>
      <c r="D38" s="29"/>
      <c r="E38" s="29"/>
      <c r="F38" s="31"/>
      <c r="G38" s="31"/>
      <c r="H38" s="31"/>
      <c r="I38" s="31"/>
      <c r="J38" s="31"/>
      <c r="K38" s="3"/>
      <c r="L38" s="3"/>
      <c r="M38" s="3"/>
      <c r="N38" s="3"/>
      <c r="O38" s="3"/>
      <c r="P38" s="3"/>
      <c r="Q38" s="3"/>
      <c r="R38" s="92" t="s">
        <v>68</v>
      </c>
      <c r="S38" s="93">
        <f>COUNTIFS('Test Checklist'!$M:$M,S$37)</f>
        <v>0</v>
      </c>
      <c r="T38" s="93">
        <f>COUNTIFS('Test Checklist'!$M:$M,T$37)</f>
        <v>63</v>
      </c>
      <c r="U38" s="93">
        <f>COUNTIFS('Test Checklist'!$M:$M,U$37)</f>
        <v>0</v>
      </c>
      <c r="V38" s="93">
        <f>COUNTIFS('Test Checklist'!$M:$M,V$37)</f>
        <v>0</v>
      </c>
      <c r="W38" s="93">
        <f>COUNTIFS('Test Checklist'!$M:$M,W$37)</f>
        <v>0</v>
      </c>
      <c r="X38" s="93">
        <f>COUNTIFS('Test Checklist'!$M:$M,X$37)</f>
        <v>12</v>
      </c>
      <c r="Y38" s="93">
        <f>COUNTIFS('Test Checklist'!$M:$M,Y$37)</f>
        <v>0</v>
      </c>
      <c r="Z38" s="93">
        <f>COUNTIFS('Test Checklist'!$M:$M,Z$37)</f>
        <v>0</v>
      </c>
      <c r="AA38" s="94">
        <f>sum(S38:Z38)</f>
        <v>75</v>
      </c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  <c r="BF38" s="29"/>
      <c r="BG38" s="29"/>
      <c r="BH38" s="29"/>
      <c r="BI38" s="29"/>
      <c r="BJ38" s="29"/>
      <c r="BK38" s="29"/>
    </row>
    <row r="39">
      <c r="A39" s="29"/>
      <c r="B39" s="29"/>
      <c r="C39" s="29"/>
      <c r="D39" s="29"/>
      <c r="E39" s="29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  <c r="BF39" s="29"/>
      <c r="BG39" s="29"/>
      <c r="BH39" s="29"/>
      <c r="BI39" s="29"/>
      <c r="BJ39" s="29"/>
      <c r="BK39" s="29"/>
    </row>
    <row r="40">
      <c r="A40" s="29"/>
      <c r="B40" s="29"/>
      <c r="C40" s="29"/>
      <c r="D40" s="29"/>
      <c r="E40" s="29"/>
      <c r="F40" s="31"/>
      <c r="G40" s="31"/>
      <c r="H40" s="31"/>
      <c r="I40" s="31"/>
      <c r="J40" s="31"/>
      <c r="K40" s="31"/>
      <c r="L40" s="31"/>
      <c r="M40" s="31"/>
      <c r="N40" s="31"/>
      <c r="O40" s="31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  <c r="BF40" s="29"/>
      <c r="BG40" s="29"/>
      <c r="BH40" s="29"/>
      <c r="BI40" s="29"/>
      <c r="BJ40" s="29"/>
      <c r="BK40" s="29"/>
    </row>
    <row r="41">
      <c r="A41" s="29"/>
      <c r="B41" s="29"/>
      <c r="C41" s="29"/>
      <c r="D41" s="29"/>
      <c r="E41" s="29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</row>
    <row r="42">
      <c r="A42" s="29"/>
      <c r="B42" s="29"/>
      <c r="C42" s="29"/>
      <c r="D42" s="29"/>
      <c r="E42" s="29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  <c r="BF42" s="29"/>
      <c r="BG42" s="29"/>
      <c r="BH42" s="29"/>
      <c r="BI42" s="29"/>
      <c r="BJ42" s="29"/>
      <c r="BK42" s="29"/>
    </row>
    <row r="43">
      <c r="A43" s="29"/>
      <c r="B43" s="29"/>
      <c r="C43" s="29"/>
      <c r="D43" s="29"/>
      <c r="E43" s="29"/>
      <c r="F43" s="31"/>
      <c r="G43" s="31"/>
      <c r="H43" s="31"/>
      <c r="I43" s="31"/>
      <c r="J43" s="31"/>
      <c r="K43" s="31"/>
      <c r="L43" s="31"/>
      <c r="M43" s="31"/>
      <c r="N43" s="31"/>
      <c r="O43" s="31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  <c r="BF43" s="29"/>
      <c r="BG43" s="29"/>
      <c r="BH43" s="29"/>
      <c r="BI43" s="29"/>
      <c r="BJ43" s="29"/>
      <c r="BK43" s="29"/>
    </row>
    <row r="44">
      <c r="A44" s="29"/>
      <c r="B44" s="29"/>
      <c r="C44" s="29"/>
      <c r="D44" s="29"/>
      <c r="E44" s="29"/>
      <c r="F44" s="31"/>
      <c r="G44" s="31"/>
      <c r="H44" s="31"/>
      <c r="I44" s="31"/>
      <c r="J44" s="31"/>
      <c r="K44" s="31"/>
      <c r="L44" s="31"/>
      <c r="M44" s="31"/>
      <c r="N44" s="31"/>
      <c r="O44" s="31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  <c r="BF44" s="29"/>
      <c r="BG44" s="29"/>
      <c r="BH44" s="29"/>
      <c r="BI44" s="29"/>
      <c r="BJ44" s="29"/>
      <c r="BK44" s="29"/>
    </row>
    <row r="45">
      <c r="A45" s="29"/>
      <c r="B45" s="29"/>
      <c r="C45" s="29"/>
      <c r="D45" s="29"/>
      <c r="E45" s="29"/>
      <c r="F45" s="31"/>
      <c r="G45" s="31"/>
      <c r="H45" s="31"/>
      <c r="I45" s="31"/>
      <c r="J45" s="31"/>
      <c r="K45" s="31"/>
      <c r="L45" s="31"/>
      <c r="M45" s="31"/>
      <c r="N45" s="31"/>
      <c r="O45" s="31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  <c r="BF45" s="29"/>
      <c r="BG45" s="29"/>
      <c r="BH45" s="29"/>
      <c r="BI45" s="29"/>
      <c r="BJ45" s="29"/>
      <c r="BK45" s="29"/>
    </row>
    <row r="46">
      <c r="A46" s="29"/>
      <c r="B46" s="29"/>
      <c r="C46" s="29"/>
      <c r="D46" s="29"/>
      <c r="E46" s="29"/>
      <c r="F46" s="31"/>
      <c r="G46" s="31"/>
      <c r="H46" s="31"/>
      <c r="I46" s="31"/>
      <c r="J46" s="31"/>
      <c r="K46" s="31"/>
      <c r="L46" s="31"/>
      <c r="M46" s="31"/>
      <c r="N46" s="31"/>
      <c r="O46" s="31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  <c r="BF46" s="29"/>
      <c r="BG46" s="29"/>
      <c r="BH46" s="29"/>
      <c r="BI46" s="29"/>
      <c r="BJ46" s="29"/>
      <c r="BK46" s="29"/>
    </row>
    <row r="47">
      <c r="A47" s="29"/>
      <c r="B47" s="29"/>
      <c r="C47" s="29"/>
      <c r="D47" s="29"/>
      <c r="E47" s="29"/>
      <c r="F47" s="31"/>
      <c r="G47" s="31"/>
      <c r="H47" s="31"/>
      <c r="I47" s="31"/>
      <c r="J47" s="31"/>
      <c r="K47" s="31"/>
      <c r="L47" s="31"/>
      <c r="M47" s="31"/>
      <c r="N47" s="31"/>
      <c r="O47" s="31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  <c r="BF47" s="29"/>
      <c r="BG47" s="29"/>
      <c r="BH47" s="29"/>
      <c r="BI47" s="29"/>
      <c r="BJ47" s="29"/>
      <c r="BK47" s="29"/>
    </row>
    <row r="48">
      <c r="A48" s="29"/>
      <c r="B48" s="29"/>
      <c r="C48" s="29"/>
      <c r="D48" s="29"/>
      <c r="E48" s="29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</row>
    <row r="49">
      <c r="A49" s="29"/>
      <c r="B49" s="29"/>
      <c r="C49" s="29"/>
      <c r="D49" s="29"/>
      <c r="E49" s="29"/>
      <c r="F49" s="31"/>
      <c r="G49" s="31"/>
      <c r="H49" s="31"/>
      <c r="I49" s="31"/>
      <c r="J49" s="31"/>
      <c r="K49" s="31"/>
      <c r="L49" s="31"/>
      <c r="M49" s="31"/>
      <c r="N49" s="31"/>
      <c r="O49" s="31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</row>
    <row r="50">
      <c r="A50" s="29"/>
      <c r="B50" s="29"/>
      <c r="C50" s="29"/>
      <c r="D50" s="29"/>
      <c r="E50" s="29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</row>
    <row r="51">
      <c r="A51" s="29"/>
      <c r="B51" s="29"/>
      <c r="C51" s="29"/>
      <c r="D51" s="29"/>
      <c r="E51" s="29"/>
      <c r="F51" s="31"/>
      <c r="G51" s="31"/>
      <c r="H51" s="31"/>
      <c r="I51" s="31"/>
      <c r="J51" s="31"/>
      <c r="K51" s="31"/>
      <c r="L51" s="31"/>
      <c r="M51" s="31"/>
      <c r="N51" s="31"/>
      <c r="O51" s="31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</row>
    <row r="52">
      <c r="A52" s="29"/>
      <c r="B52" s="29"/>
      <c r="C52" s="29"/>
      <c r="D52" s="29"/>
      <c r="E52" s="29"/>
      <c r="F52" s="31"/>
      <c r="G52" s="31"/>
      <c r="H52" s="31"/>
      <c r="I52" s="31"/>
      <c r="J52" s="31"/>
      <c r="K52" s="31"/>
      <c r="L52" s="31"/>
      <c r="M52" s="31"/>
      <c r="N52" s="31"/>
      <c r="O52" s="31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</row>
    <row r="53">
      <c r="A53" s="29"/>
      <c r="B53" s="29"/>
      <c r="C53" s="29"/>
      <c r="D53" s="29"/>
      <c r="E53" s="29"/>
      <c r="F53" s="31"/>
      <c r="G53" s="31"/>
      <c r="H53" s="31"/>
      <c r="I53" s="31"/>
      <c r="J53" s="31"/>
      <c r="K53" s="31"/>
      <c r="L53" s="31"/>
      <c r="M53" s="31"/>
      <c r="N53" s="31"/>
      <c r="O53" s="31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</row>
    <row r="54">
      <c r="A54" s="29"/>
      <c r="B54" s="29"/>
      <c r="C54" s="29"/>
      <c r="D54" s="29"/>
      <c r="E54" s="29"/>
      <c r="F54" s="31"/>
      <c r="G54" s="31"/>
      <c r="H54" s="31"/>
      <c r="I54" s="31"/>
      <c r="J54" s="31"/>
      <c r="K54" s="31"/>
      <c r="L54" s="31"/>
      <c r="M54" s="31"/>
      <c r="N54" s="31"/>
      <c r="O54" s="31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</row>
    <row r="55">
      <c r="A55" s="29"/>
      <c r="B55" s="29"/>
      <c r="C55" s="29"/>
      <c r="D55" s="29"/>
      <c r="E55" s="29"/>
      <c r="F55" s="31"/>
      <c r="G55" s="31"/>
      <c r="H55" s="31"/>
      <c r="I55" s="31"/>
      <c r="J55" s="31"/>
      <c r="K55" s="31"/>
      <c r="L55" s="31"/>
      <c r="M55" s="31"/>
      <c r="N55" s="31"/>
      <c r="O55" s="31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</row>
    <row r="56">
      <c r="A56" s="29"/>
      <c r="B56" s="29"/>
      <c r="C56" s="29"/>
      <c r="D56" s="29"/>
      <c r="E56" s="29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</row>
    <row r="57">
      <c r="A57" s="29"/>
      <c r="B57" s="29"/>
      <c r="C57" s="29"/>
      <c r="D57" s="29"/>
      <c r="E57" s="29"/>
      <c r="F57" s="31"/>
      <c r="G57" s="31"/>
      <c r="H57" s="31"/>
      <c r="I57" s="31"/>
      <c r="J57" s="31"/>
      <c r="K57" s="31"/>
      <c r="L57" s="31"/>
      <c r="M57" s="31"/>
      <c r="N57" s="31"/>
      <c r="O57" s="31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</row>
    <row r="58">
      <c r="A58" s="29"/>
      <c r="B58" s="29"/>
      <c r="C58" s="29"/>
      <c r="D58" s="29"/>
      <c r="E58" s="29"/>
      <c r="F58" s="31"/>
      <c r="G58" s="31"/>
      <c r="H58" s="31"/>
      <c r="I58" s="31"/>
      <c r="J58" s="31"/>
      <c r="K58" s="31"/>
      <c r="L58" s="31"/>
      <c r="M58" s="31"/>
      <c r="N58" s="31"/>
      <c r="O58" s="31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  <c r="AB58" s="29"/>
      <c r="AC58" s="29"/>
      <c r="AD58" s="29"/>
      <c r="AE58" s="29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  <c r="AU58" s="29"/>
      <c r="AV58" s="29"/>
      <c r="AW58" s="29"/>
      <c r="AX58" s="29"/>
      <c r="AY58" s="29"/>
      <c r="AZ58" s="29"/>
      <c r="BA58" s="29"/>
      <c r="BB58" s="29"/>
      <c r="BC58" s="29"/>
      <c r="BD58" s="29"/>
      <c r="BE58" s="29"/>
      <c r="BF58" s="29"/>
      <c r="BG58" s="29"/>
      <c r="BH58" s="29"/>
      <c r="BI58" s="29"/>
      <c r="BJ58" s="29"/>
      <c r="BK58" s="29"/>
    </row>
    <row r="59">
      <c r="A59" s="29"/>
      <c r="B59" s="29"/>
      <c r="C59" s="29"/>
      <c r="D59" s="29"/>
      <c r="E59" s="29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</row>
    <row r="60">
      <c r="A60" s="29"/>
      <c r="B60" s="29"/>
      <c r="C60" s="29"/>
      <c r="D60" s="29"/>
      <c r="E60" s="29"/>
      <c r="F60" s="31"/>
      <c r="G60" s="31"/>
      <c r="H60" s="31"/>
      <c r="I60" s="31"/>
      <c r="J60" s="31"/>
      <c r="K60" s="31"/>
      <c r="L60" s="31"/>
      <c r="M60" s="31"/>
      <c r="N60" s="31"/>
      <c r="O60" s="31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  <c r="BF60" s="29"/>
      <c r="BG60" s="29"/>
      <c r="BH60" s="29"/>
      <c r="BI60" s="29"/>
      <c r="BJ60" s="29"/>
      <c r="BK60" s="29"/>
    </row>
    <row r="61">
      <c r="A61" s="29"/>
      <c r="B61" s="29"/>
      <c r="C61" s="29"/>
      <c r="D61" s="29"/>
      <c r="E61" s="29"/>
      <c r="F61" s="31"/>
      <c r="G61" s="31"/>
      <c r="H61" s="31"/>
      <c r="I61" s="31"/>
      <c r="J61" s="31"/>
      <c r="K61" s="31"/>
      <c r="L61" s="31"/>
      <c r="M61" s="31"/>
      <c r="N61" s="31"/>
      <c r="O61" s="31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  <c r="AU61" s="29"/>
      <c r="AV61" s="29"/>
      <c r="AW61" s="29"/>
      <c r="AX61" s="29"/>
      <c r="AY61" s="29"/>
      <c r="AZ61" s="29"/>
      <c r="BA61" s="29"/>
      <c r="BB61" s="29"/>
      <c r="BC61" s="29"/>
      <c r="BD61" s="29"/>
      <c r="BE61" s="29"/>
      <c r="BF61" s="29"/>
      <c r="BG61" s="29"/>
      <c r="BH61" s="29"/>
      <c r="BI61" s="29"/>
      <c r="BJ61" s="29"/>
      <c r="BK61" s="29"/>
    </row>
    <row r="62">
      <c r="A62" s="29"/>
      <c r="B62" s="29"/>
      <c r="C62" s="29"/>
      <c r="D62" s="29"/>
      <c r="E62" s="29"/>
      <c r="F62" s="31"/>
      <c r="G62" s="31"/>
      <c r="H62" s="31"/>
      <c r="I62" s="31"/>
      <c r="J62" s="31"/>
      <c r="K62" s="31"/>
      <c r="L62" s="31"/>
      <c r="M62" s="31"/>
      <c r="N62" s="31"/>
      <c r="O62" s="31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  <c r="BF62" s="29"/>
      <c r="BG62" s="29"/>
      <c r="BH62" s="29"/>
      <c r="BI62" s="29"/>
      <c r="BJ62" s="29"/>
      <c r="BK62" s="29"/>
    </row>
    <row r="63">
      <c r="A63" s="29"/>
      <c r="B63" s="29"/>
      <c r="C63" s="29"/>
      <c r="D63" s="29"/>
      <c r="E63" s="29"/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  <c r="BF63" s="29"/>
      <c r="BG63" s="29"/>
      <c r="BH63" s="29"/>
      <c r="BI63" s="29"/>
      <c r="BJ63" s="29"/>
      <c r="BK63" s="29"/>
    </row>
    <row r="64">
      <c r="A64" s="29"/>
      <c r="B64" s="29"/>
      <c r="C64" s="29"/>
      <c r="D64" s="29"/>
      <c r="E64" s="29"/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  <c r="BF64" s="29"/>
      <c r="BG64" s="29"/>
      <c r="BH64" s="29"/>
      <c r="BI64" s="29"/>
      <c r="BJ64" s="29"/>
      <c r="BK64" s="29"/>
    </row>
    <row r="65">
      <c r="A65" s="29"/>
      <c r="B65" s="29"/>
      <c r="C65" s="29"/>
      <c r="D65" s="29"/>
      <c r="E65" s="29"/>
      <c r="F65" s="31"/>
      <c r="G65" s="31"/>
      <c r="H65" s="31"/>
      <c r="I65" s="31"/>
      <c r="J65" s="31"/>
      <c r="K65" s="31"/>
      <c r="L65" s="31"/>
      <c r="M65" s="31"/>
      <c r="N65" s="31"/>
      <c r="O65" s="31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  <c r="BF65" s="29"/>
      <c r="BG65" s="29"/>
      <c r="BH65" s="29"/>
      <c r="BI65" s="29"/>
      <c r="BJ65" s="29"/>
      <c r="BK65" s="29"/>
    </row>
    <row r="66">
      <c r="A66" s="29"/>
      <c r="B66" s="29"/>
      <c r="C66" s="29"/>
      <c r="D66" s="29"/>
      <c r="E66" s="29"/>
      <c r="F66" s="31"/>
      <c r="G66" s="31"/>
      <c r="H66" s="31"/>
      <c r="I66" s="31"/>
      <c r="J66" s="31"/>
      <c r="K66" s="31"/>
      <c r="L66" s="31"/>
      <c r="M66" s="31"/>
      <c r="N66" s="31"/>
      <c r="O66" s="31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  <c r="BF66" s="29"/>
      <c r="BG66" s="29"/>
      <c r="BH66" s="29"/>
      <c r="BI66" s="29"/>
      <c r="BJ66" s="29"/>
      <c r="BK66" s="29"/>
    </row>
    <row r="67">
      <c r="A67" s="29"/>
      <c r="B67" s="29"/>
      <c r="C67" s="29"/>
      <c r="D67" s="29"/>
      <c r="E67" s="29"/>
      <c r="F67" s="31"/>
      <c r="G67" s="31"/>
      <c r="H67" s="31"/>
      <c r="I67" s="31"/>
      <c r="J67" s="31"/>
      <c r="K67" s="31"/>
      <c r="L67" s="31"/>
      <c r="M67" s="31"/>
      <c r="N67" s="31"/>
      <c r="O67" s="31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  <c r="BF67" s="29"/>
      <c r="BG67" s="29"/>
      <c r="BH67" s="29"/>
      <c r="BI67" s="29"/>
      <c r="BJ67" s="29"/>
      <c r="BK67" s="29"/>
    </row>
    <row r="68">
      <c r="A68" s="29"/>
      <c r="B68" s="29"/>
      <c r="C68" s="29"/>
      <c r="D68" s="29"/>
      <c r="E68" s="29"/>
      <c r="F68" s="31"/>
      <c r="G68" s="31"/>
      <c r="H68" s="31"/>
      <c r="I68" s="31"/>
      <c r="J68" s="31"/>
      <c r="K68" s="31"/>
      <c r="L68" s="31"/>
      <c r="M68" s="31"/>
      <c r="N68" s="31"/>
      <c r="O68" s="31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  <c r="BF68" s="29"/>
      <c r="BG68" s="29"/>
      <c r="BH68" s="29"/>
      <c r="BI68" s="29"/>
      <c r="BJ68" s="29"/>
      <c r="BK68" s="29"/>
    </row>
    <row r="69">
      <c r="A69" s="29"/>
      <c r="B69" s="29"/>
      <c r="C69" s="29"/>
      <c r="D69" s="29"/>
      <c r="E69" s="29"/>
      <c r="F69" s="31"/>
      <c r="G69" s="31"/>
      <c r="H69" s="31"/>
      <c r="I69" s="31"/>
      <c r="J69" s="31"/>
      <c r="K69" s="31"/>
      <c r="L69" s="31"/>
      <c r="M69" s="31"/>
      <c r="N69" s="31"/>
      <c r="O69" s="31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  <c r="BF69" s="29"/>
      <c r="BG69" s="29"/>
      <c r="BH69" s="29"/>
      <c r="BI69" s="29"/>
      <c r="BJ69" s="29"/>
      <c r="BK69" s="29"/>
    </row>
    <row r="70">
      <c r="A70" s="29"/>
      <c r="B70" s="29"/>
      <c r="C70" s="29"/>
      <c r="D70" s="29"/>
      <c r="E70" s="29"/>
      <c r="F70" s="31"/>
      <c r="G70" s="31"/>
      <c r="H70" s="31"/>
      <c r="I70" s="31"/>
      <c r="J70" s="31"/>
      <c r="K70" s="31"/>
      <c r="L70" s="31"/>
      <c r="M70" s="31"/>
      <c r="N70" s="31"/>
      <c r="O70" s="31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  <c r="BF70" s="29"/>
      <c r="BG70" s="29"/>
      <c r="BH70" s="29"/>
      <c r="BI70" s="29"/>
      <c r="BJ70" s="29"/>
      <c r="BK70" s="29"/>
    </row>
    <row r="71">
      <c r="A71" s="84" t="s">
        <v>69</v>
      </c>
      <c r="B71" s="85"/>
      <c r="C71" s="85"/>
      <c r="D71" s="85"/>
      <c r="E71" s="85"/>
      <c r="F71" s="85"/>
      <c r="G71" s="86"/>
      <c r="H71" s="86"/>
      <c r="I71" s="86"/>
      <c r="J71" s="86"/>
      <c r="K71" s="86"/>
      <c r="L71" s="86"/>
      <c r="M71" s="86"/>
      <c r="N71" s="86"/>
      <c r="O71" s="86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  <c r="AA71" s="85"/>
      <c r="AB71" s="85"/>
      <c r="AC71" s="85"/>
      <c r="AD71" s="85"/>
      <c r="AE71" s="85"/>
      <c r="AF71" s="85"/>
      <c r="AG71" s="85"/>
      <c r="AH71" s="85"/>
      <c r="AI71" s="85"/>
      <c r="AJ71" s="85"/>
      <c r="AK71" s="85"/>
      <c r="AL71" s="85"/>
      <c r="AM71" s="85"/>
      <c r="AN71" s="85"/>
      <c r="AO71" s="85"/>
      <c r="AP71" s="85"/>
      <c r="AQ71" s="85"/>
      <c r="AR71" s="85"/>
      <c r="AS71" s="85"/>
      <c r="AT71" s="85"/>
      <c r="AU71" s="85"/>
      <c r="AV71" s="85"/>
      <c r="AW71" s="85"/>
      <c r="AX71" s="85"/>
      <c r="AY71" s="85"/>
      <c r="AZ71" s="85"/>
      <c r="BA71" s="85"/>
      <c r="BB71" s="85"/>
      <c r="BC71" s="85"/>
      <c r="BD71" s="85"/>
      <c r="BE71" s="85"/>
      <c r="BF71" s="85"/>
      <c r="BG71" s="85"/>
      <c r="BH71" s="85"/>
      <c r="BI71" s="85"/>
      <c r="BJ71" s="85"/>
      <c r="BK71" s="85"/>
    </row>
    <row r="72" outlineLevel="1">
      <c r="A72" s="3"/>
      <c r="B72" s="3"/>
      <c r="C72" s="3"/>
      <c r="D72" s="3"/>
      <c r="E72" s="3"/>
      <c r="F72" s="3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87" t="s">
        <v>57</v>
      </c>
      <c r="S72" s="65"/>
      <c r="T72" s="65"/>
      <c r="U72" s="65"/>
      <c r="V72" s="65"/>
      <c r="W72" s="65"/>
      <c r="X72" s="65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</row>
    <row r="73" outlineLevel="1">
      <c r="A73" s="95" t="s">
        <v>69</v>
      </c>
      <c r="B73" s="95" t="s">
        <v>70</v>
      </c>
      <c r="C73" s="96" t="s">
        <v>71</v>
      </c>
      <c r="D73" s="97" t="s">
        <v>72</v>
      </c>
      <c r="E73" s="97" t="s">
        <v>73</v>
      </c>
      <c r="F73" s="97" t="s">
        <v>74</v>
      </c>
      <c r="G73" s="98" t="s">
        <v>75</v>
      </c>
      <c r="H73" s="99" t="s">
        <v>76</v>
      </c>
      <c r="I73" s="99" t="s">
        <v>77</v>
      </c>
      <c r="J73" s="99" t="s">
        <v>78</v>
      </c>
      <c r="K73" s="3"/>
      <c r="L73" s="65"/>
      <c r="M73" s="65"/>
      <c r="N73" s="65"/>
      <c r="O73" s="65"/>
      <c r="P73" s="3"/>
      <c r="Q73" s="3"/>
      <c r="R73" s="89" t="s">
        <v>59</v>
      </c>
      <c r="S73" s="90" t="s">
        <v>60</v>
      </c>
      <c r="T73" s="91" t="s">
        <v>61</v>
      </c>
      <c r="U73" s="90" t="s">
        <v>62</v>
      </c>
      <c r="V73" s="90" t="s">
        <v>63</v>
      </c>
      <c r="W73" s="90" t="s">
        <v>64</v>
      </c>
      <c r="X73" s="90" t="s">
        <v>65</v>
      </c>
      <c r="Y73" s="90" t="s">
        <v>66</v>
      </c>
      <c r="Z73" s="91" t="s">
        <v>67</v>
      </c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</row>
    <row r="74" outlineLevel="1">
      <c r="A74" s="100">
        <v>2.0</v>
      </c>
      <c r="B74" s="8" t="s">
        <v>79</v>
      </c>
      <c r="C74" s="8" t="s">
        <v>80</v>
      </c>
      <c r="D74" s="101" t="str">
        <f>if(and(E74=0, F74=0),"Not Start", if(and(E74&gt;0,F74&lt;&gt;1),"In Progress", if(and(E74=1,F74=1), "Completed")))</f>
        <v>Completed</v>
      </c>
      <c r="E74" s="102">
        <f>IFERROR(SUM(R74:W74)/Z74, 0)</f>
        <v>1</v>
      </c>
      <c r="F74" s="102">
        <f>IFERROR(SUM(R74:T74)/Z74, 0)</f>
        <v>1</v>
      </c>
      <c r="G74" s="103">
        <v>46199.0</v>
      </c>
      <c r="H74" s="104"/>
      <c r="I74" s="105" t="str">
        <f>IF(MINIFS('Test Checklist'!$O:$O, 'Test Checklist'!$A:$A, $A74)=0, "", MINIFS('Test Checklist'!$O:$O, 'Test Checklist'!$A:$A, $A74))</f>
        <v/>
      </c>
      <c r="J74" s="105" t="str">
        <f>IF(MAXIFS('Test Checklist'!$O:$O, 'Test Checklist'!$A:$A, $A74)=0, "", MAXIFS('Test Checklist'!$O:$O, 'Test Checklist'!$A:$A, $A74))</f>
        <v/>
      </c>
      <c r="K74" s="3"/>
      <c r="L74" s="65"/>
      <c r="M74" s="65"/>
      <c r="N74" s="65"/>
      <c r="O74" s="65"/>
      <c r="P74" s="3"/>
      <c r="Q74" s="3"/>
      <c r="R74" s="106">
        <f>COUNTIFS('Test Checklist'!$K:$K,$B74,'Test Checklist'!$L:$L,$C74,'Test Checklist'!$M:$M,R$73)</f>
        <v>0</v>
      </c>
      <c r="S74" s="106">
        <f>COUNTIFS('Test Checklist'!$K:$K,$B74,'Test Checklist'!$L:$L,$C74,'Test Checklist'!$M:$M,S$73)</f>
        <v>63</v>
      </c>
      <c r="T74" s="106">
        <f>COUNTIFS('Test Checklist'!$K:$K,$B74,'Test Checklist'!$L:$L,$C74,'Test Checklist'!$M:$M,T$73)</f>
        <v>0</v>
      </c>
      <c r="U74" s="106">
        <f>COUNTIFS('Test Checklist'!$K:$K,$B74,'Test Checklist'!$L:$L,$C74,'Test Checklist'!$M:$M,U$73)</f>
        <v>0</v>
      </c>
      <c r="V74" s="106">
        <f>COUNTIFS('Test Checklist'!$K:$K,$B74,'Test Checklist'!$L:$L,$C74,'Test Checklist'!$M:$M,V$73)</f>
        <v>0</v>
      </c>
      <c r="W74" s="106">
        <f>COUNTIFS('Test Checklist'!$K:$K,$B74,'Test Checklist'!$L:$L,$C74,'Test Checklist'!$M:$M,W$73)</f>
        <v>0</v>
      </c>
      <c r="X74" s="106">
        <f>COUNTIFS('Test Checklist'!$K:$K,$B74,'Test Checklist'!$L:$L,$C74,'Test Checklist'!$M:$M,X$73)</f>
        <v>0</v>
      </c>
      <c r="Y74" s="106">
        <f>COUNTIFS('Test Checklist'!$K:$K,$B74,'Test Checklist'!$L:$L,$C74,'Test Checklist'!$M:$M,Y$73)</f>
        <v>0</v>
      </c>
      <c r="Z74" s="94">
        <f>sum(R74:Y74)</f>
        <v>63</v>
      </c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</row>
    <row r="75" outlineLevel="1">
      <c r="A75" s="3"/>
      <c r="B75" s="3"/>
      <c r="C75" s="29"/>
      <c r="D75" s="29"/>
      <c r="E75" s="29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  <c r="BF75" s="29"/>
      <c r="BG75" s="29"/>
      <c r="BH75" s="29"/>
      <c r="BI75" s="29"/>
      <c r="BJ75" s="29"/>
      <c r="BK75" s="29"/>
    </row>
    <row r="76">
      <c r="A76" s="84" t="s">
        <v>81</v>
      </c>
      <c r="B76" s="85"/>
      <c r="C76" s="85"/>
      <c r="D76" s="85"/>
      <c r="E76" s="85"/>
      <c r="F76" s="85"/>
      <c r="G76" s="86"/>
      <c r="H76" s="86"/>
      <c r="I76" s="86"/>
      <c r="J76" s="86"/>
      <c r="K76" s="86"/>
      <c r="L76" s="86"/>
      <c r="M76" s="86"/>
      <c r="N76" s="86"/>
      <c r="O76" s="86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  <c r="AA76" s="85"/>
      <c r="AB76" s="85"/>
      <c r="AC76" s="85"/>
      <c r="AD76" s="85"/>
      <c r="AE76" s="85"/>
      <c r="AF76" s="85"/>
      <c r="AG76" s="85"/>
      <c r="AH76" s="85"/>
      <c r="AI76" s="85"/>
      <c r="AJ76" s="85"/>
      <c r="AK76" s="85"/>
      <c r="AL76" s="85"/>
      <c r="AM76" s="85"/>
      <c r="AN76" s="85"/>
      <c r="AO76" s="85"/>
      <c r="AP76" s="85"/>
      <c r="AQ76" s="85"/>
      <c r="AR76" s="85"/>
      <c r="AS76" s="85"/>
      <c r="AT76" s="85"/>
      <c r="AU76" s="85"/>
      <c r="AV76" s="85"/>
      <c r="AW76" s="85"/>
      <c r="AX76" s="85"/>
      <c r="AY76" s="85"/>
      <c r="AZ76" s="85"/>
      <c r="BA76" s="85"/>
      <c r="BB76" s="85"/>
      <c r="BC76" s="85"/>
      <c r="BD76" s="85"/>
      <c r="BE76" s="85"/>
      <c r="BF76" s="85"/>
      <c r="BG76" s="85"/>
      <c r="BH76" s="85"/>
      <c r="BI76" s="85"/>
      <c r="BJ76" s="85"/>
      <c r="BK76" s="85"/>
    </row>
    <row r="77" outlineLevel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</row>
    <row r="78" outlineLevel="1">
      <c r="A78" s="107" t="s">
        <v>81</v>
      </c>
      <c r="B78" s="108">
        <f>(counta(C85:C88)-countif(C85:C88, "Not Ready for Test"))/counta(C85:C88)</f>
        <v>1</v>
      </c>
      <c r="C78" s="31"/>
      <c r="D78" s="109"/>
      <c r="E78" s="109"/>
      <c r="F78" s="109"/>
      <c r="G78" s="109"/>
      <c r="H78" s="109"/>
      <c r="I78" s="109"/>
      <c r="J78" s="109"/>
      <c r="K78" s="109"/>
      <c r="L78" s="31"/>
      <c r="M78" s="31"/>
      <c r="N78" s="31"/>
      <c r="O78" s="3"/>
      <c r="P78" s="3"/>
      <c r="Q78" s="3"/>
      <c r="R78" s="110"/>
      <c r="S78" s="111"/>
      <c r="T78" s="111"/>
      <c r="U78" s="111"/>
      <c r="V78" s="111"/>
      <c r="W78" s="111"/>
      <c r="X78" s="111"/>
      <c r="Y78" s="111"/>
      <c r="Z78" s="111"/>
      <c r="AA78" s="110"/>
      <c r="AB78" s="111"/>
      <c r="AC78" s="111"/>
      <c r="AD78" s="111"/>
      <c r="AE78" s="111"/>
      <c r="AF78" s="111"/>
      <c r="AG78" s="111"/>
      <c r="AH78" s="111"/>
      <c r="AI78" s="111"/>
      <c r="AJ78" s="110"/>
      <c r="AK78" s="111"/>
      <c r="AL78" s="111"/>
      <c r="AM78" s="111"/>
      <c r="AN78" s="111"/>
      <c r="AO78" s="111"/>
      <c r="AP78" s="111"/>
      <c r="AQ78" s="111"/>
      <c r="AR78" s="111"/>
      <c r="AS78" s="111"/>
      <c r="AT78" s="111"/>
      <c r="AU78" s="111"/>
      <c r="AV78" s="111"/>
      <c r="AW78" s="111"/>
      <c r="AX78" s="111"/>
      <c r="AY78" s="111"/>
      <c r="AZ78" s="111"/>
      <c r="BA78" s="111"/>
      <c r="BB78" s="111"/>
      <c r="BC78" s="111"/>
      <c r="BD78" s="111"/>
      <c r="BE78" s="111"/>
      <c r="BF78" s="111"/>
      <c r="BG78" s="111"/>
      <c r="BH78" s="111"/>
      <c r="BI78" s="111"/>
      <c r="BJ78" s="111"/>
      <c r="BK78" s="111"/>
    </row>
    <row r="79" outlineLevel="1">
      <c r="A79" s="107" t="s">
        <v>66</v>
      </c>
      <c r="B79" s="108">
        <f>1-B78</f>
        <v>0</v>
      </c>
      <c r="C79" s="31"/>
      <c r="D79" s="109"/>
      <c r="E79" s="109"/>
      <c r="F79" s="109"/>
      <c r="G79" s="109"/>
      <c r="H79" s="109"/>
      <c r="I79" s="109"/>
      <c r="J79" s="109"/>
      <c r="K79" s="109"/>
      <c r="L79" s="31"/>
      <c r="M79" s="31"/>
      <c r="N79" s="31"/>
      <c r="O79" s="3"/>
      <c r="P79" s="3"/>
      <c r="Q79" s="3"/>
      <c r="R79" s="110"/>
      <c r="S79" s="111"/>
      <c r="T79" s="111"/>
      <c r="U79" s="111"/>
      <c r="V79" s="111"/>
      <c r="W79" s="111"/>
      <c r="X79" s="111"/>
      <c r="Y79" s="111"/>
      <c r="Z79" s="111"/>
      <c r="AA79" s="110"/>
      <c r="AB79" s="111"/>
      <c r="AC79" s="111"/>
      <c r="AD79" s="111"/>
      <c r="AE79" s="111"/>
      <c r="AF79" s="111"/>
      <c r="AG79" s="111"/>
      <c r="AH79" s="111"/>
      <c r="AI79" s="111"/>
      <c r="AJ79" s="110"/>
      <c r="AK79" s="111"/>
      <c r="AL79" s="111"/>
      <c r="AM79" s="111"/>
      <c r="AN79" s="111"/>
      <c r="AO79" s="111"/>
      <c r="AP79" s="111"/>
      <c r="AQ79" s="111"/>
      <c r="AR79" s="111"/>
      <c r="AS79" s="111"/>
      <c r="AT79" s="111"/>
      <c r="AU79" s="111"/>
      <c r="AV79" s="111"/>
      <c r="AW79" s="111"/>
      <c r="AX79" s="111"/>
      <c r="AY79" s="111"/>
      <c r="AZ79" s="111"/>
      <c r="BA79" s="111"/>
      <c r="BB79" s="111"/>
      <c r="BC79" s="111"/>
      <c r="BD79" s="111"/>
      <c r="BE79" s="111"/>
      <c r="BF79" s="111"/>
      <c r="BG79" s="111"/>
      <c r="BH79" s="111"/>
      <c r="BI79" s="111"/>
      <c r="BJ79" s="111"/>
      <c r="BK79" s="111"/>
    </row>
    <row r="80" outlineLevel="1">
      <c r="A80" s="112"/>
      <c r="B80" s="112"/>
      <c r="C80" s="31"/>
      <c r="D80" s="109"/>
      <c r="E80" s="109"/>
      <c r="F80" s="109"/>
      <c r="G80" s="109"/>
      <c r="H80" s="109"/>
      <c r="I80" s="109"/>
      <c r="J80" s="109"/>
      <c r="K80" s="109"/>
      <c r="L80" s="31"/>
      <c r="M80" s="31"/>
      <c r="N80" s="31"/>
      <c r="O80" s="3"/>
      <c r="P80" s="3"/>
      <c r="Q80" s="3"/>
      <c r="R80" s="110"/>
      <c r="S80" s="111"/>
      <c r="T80" s="111"/>
      <c r="U80" s="111"/>
      <c r="V80" s="111"/>
      <c r="W80" s="111"/>
      <c r="X80" s="111"/>
      <c r="Y80" s="111"/>
      <c r="Z80" s="111"/>
      <c r="AA80" s="110"/>
      <c r="AB80" s="111"/>
      <c r="AC80" s="111"/>
      <c r="AD80" s="111"/>
      <c r="AE80" s="111"/>
      <c r="AF80" s="111"/>
      <c r="AG80" s="111"/>
      <c r="AH80" s="111"/>
      <c r="AI80" s="111"/>
      <c r="AJ80" s="110"/>
      <c r="AK80" s="111"/>
      <c r="AL80" s="111"/>
      <c r="AM80" s="111"/>
      <c r="AN80" s="111"/>
      <c r="AO80" s="111"/>
      <c r="AP80" s="111"/>
      <c r="AQ80" s="111"/>
      <c r="AR80" s="111"/>
      <c r="AS80" s="111"/>
      <c r="AT80" s="111"/>
      <c r="AU80" s="111"/>
      <c r="AV80" s="111"/>
      <c r="AW80" s="111"/>
      <c r="AX80" s="111"/>
      <c r="AY80" s="111"/>
      <c r="AZ80" s="111"/>
      <c r="BA80" s="111"/>
      <c r="BB80" s="111"/>
      <c r="BC80" s="111"/>
      <c r="BD80" s="111"/>
      <c r="BE80" s="111"/>
      <c r="BF80" s="111"/>
      <c r="BG80" s="111"/>
      <c r="BH80" s="111"/>
      <c r="BI80" s="111"/>
      <c r="BJ80" s="111"/>
      <c r="BK80" s="111"/>
    </row>
    <row r="81">
      <c r="A81" s="84" t="s">
        <v>56</v>
      </c>
      <c r="B81" s="85"/>
      <c r="C81" s="85"/>
      <c r="D81" s="85"/>
      <c r="E81" s="85"/>
      <c r="F81" s="85"/>
      <c r="G81" s="86"/>
      <c r="H81" s="86"/>
      <c r="I81" s="86"/>
      <c r="J81" s="86"/>
      <c r="K81" s="86"/>
      <c r="L81" s="86"/>
      <c r="M81" s="86"/>
      <c r="N81" s="86"/>
      <c r="O81" s="86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  <c r="AA81" s="85"/>
      <c r="AB81" s="85"/>
      <c r="AC81" s="85"/>
      <c r="AD81" s="85"/>
      <c r="AE81" s="85"/>
      <c r="AF81" s="85"/>
      <c r="AG81" s="85"/>
      <c r="AH81" s="85"/>
      <c r="AI81" s="85"/>
      <c r="AJ81" s="85"/>
      <c r="AK81" s="85"/>
      <c r="AL81" s="85"/>
      <c r="AM81" s="85"/>
      <c r="AN81" s="85"/>
      <c r="AO81" s="85"/>
      <c r="AP81" s="85"/>
      <c r="AQ81" s="85"/>
      <c r="AR81" s="85"/>
      <c r="AS81" s="85"/>
      <c r="AT81" s="85"/>
      <c r="AU81" s="85"/>
      <c r="AV81" s="85"/>
      <c r="AW81" s="85"/>
      <c r="AX81" s="85"/>
      <c r="AY81" s="85"/>
      <c r="AZ81" s="85"/>
      <c r="BA81" s="85"/>
      <c r="BB81" s="85"/>
      <c r="BC81" s="85"/>
      <c r="BD81" s="85"/>
      <c r="BE81" s="85"/>
      <c r="BF81" s="85"/>
      <c r="BG81" s="85"/>
      <c r="BH81" s="85"/>
      <c r="BI81" s="85"/>
      <c r="BJ81" s="85"/>
      <c r="BK81" s="85"/>
    </row>
    <row r="82" outlineLevel="1">
      <c r="A82" s="29"/>
      <c r="B82" s="3"/>
      <c r="C82" s="31"/>
      <c r="D82" s="109"/>
      <c r="E82" s="109"/>
      <c r="F82" s="109"/>
      <c r="G82" s="109"/>
      <c r="H82" s="109"/>
      <c r="I82" s="109"/>
      <c r="J82" s="109"/>
      <c r="K82" s="109"/>
      <c r="L82" s="31"/>
      <c r="M82" s="31"/>
      <c r="N82" s="31"/>
      <c r="O82" s="3"/>
      <c r="P82" s="3"/>
      <c r="Q82" s="3"/>
      <c r="R82" s="87" t="s">
        <v>57</v>
      </c>
      <c r="S82" s="111"/>
      <c r="T82" s="111"/>
      <c r="U82" s="111"/>
      <c r="V82" s="111"/>
      <c r="W82" s="111"/>
      <c r="X82" s="111"/>
      <c r="Y82" s="111"/>
      <c r="Z82" s="111"/>
      <c r="AA82" s="110"/>
      <c r="AB82" s="111"/>
      <c r="AC82" s="111"/>
      <c r="AD82" s="111"/>
      <c r="AE82" s="111"/>
      <c r="AF82" s="111"/>
      <c r="AG82" s="111"/>
      <c r="AH82" s="111"/>
      <c r="AI82" s="111"/>
      <c r="AJ82" s="110"/>
      <c r="AK82" s="111"/>
      <c r="AL82" s="111"/>
      <c r="AM82" s="111"/>
      <c r="AN82" s="111"/>
      <c r="AO82" s="111"/>
      <c r="AP82" s="111"/>
      <c r="AQ82" s="111"/>
      <c r="AR82" s="111"/>
      <c r="AS82" s="111"/>
      <c r="AT82" s="111"/>
      <c r="AU82" s="111"/>
      <c r="AV82" s="111"/>
      <c r="AW82" s="111"/>
      <c r="AX82" s="111"/>
      <c r="AY82" s="111"/>
      <c r="AZ82" s="111"/>
      <c r="BA82" s="111"/>
      <c r="BB82" s="111"/>
      <c r="BC82" s="111"/>
      <c r="BD82" s="111"/>
      <c r="BE82" s="111"/>
      <c r="BF82" s="111"/>
      <c r="BG82" s="111"/>
      <c r="BH82" s="111"/>
      <c r="BI82" s="111"/>
      <c r="BJ82" s="111"/>
      <c r="BK82" s="111"/>
    </row>
    <row r="83" outlineLevel="1">
      <c r="A83" s="29"/>
      <c r="B83" s="3"/>
      <c r="C83" s="31"/>
      <c r="D83" s="113" t="s">
        <v>82</v>
      </c>
      <c r="E83" s="114"/>
      <c r="F83" s="113" t="s">
        <v>83</v>
      </c>
      <c r="G83" s="114"/>
      <c r="H83" s="113" t="s">
        <v>80</v>
      </c>
      <c r="I83" s="114"/>
      <c r="J83" s="113" t="s">
        <v>84</v>
      </c>
      <c r="K83" s="114"/>
      <c r="L83" s="31"/>
      <c r="M83" s="31"/>
      <c r="N83" s="31"/>
      <c r="O83" s="3"/>
      <c r="P83" s="3"/>
      <c r="Q83" s="3"/>
      <c r="R83" s="115" t="s">
        <v>83</v>
      </c>
      <c r="S83" s="116"/>
      <c r="T83" s="116"/>
      <c r="U83" s="116"/>
      <c r="V83" s="116"/>
      <c r="W83" s="116"/>
      <c r="X83" s="116"/>
      <c r="Y83" s="116"/>
      <c r="Z83" s="117"/>
      <c r="AA83" s="115" t="s">
        <v>80</v>
      </c>
      <c r="AB83" s="116"/>
      <c r="AC83" s="116"/>
      <c r="AD83" s="116"/>
      <c r="AE83" s="116"/>
      <c r="AF83" s="116"/>
      <c r="AG83" s="116"/>
      <c r="AH83" s="116"/>
      <c r="AI83" s="117"/>
      <c r="AJ83" s="115" t="s">
        <v>84</v>
      </c>
      <c r="AK83" s="116"/>
      <c r="AL83" s="116"/>
      <c r="AM83" s="116"/>
      <c r="AN83" s="116"/>
      <c r="AO83" s="116"/>
      <c r="AP83" s="116"/>
      <c r="AQ83" s="116"/>
      <c r="AR83" s="117"/>
      <c r="AS83" s="115" t="s">
        <v>85</v>
      </c>
      <c r="AT83" s="116"/>
      <c r="AU83" s="116"/>
      <c r="AV83" s="116"/>
      <c r="AW83" s="116"/>
      <c r="AX83" s="116"/>
      <c r="AY83" s="116"/>
      <c r="AZ83" s="116"/>
      <c r="BA83" s="116"/>
      <c r="BB83" s="118" t="s">
        <v>86</v>
      </c>
      <c r="BC83" s="119"/>
      <c r="BD83" s="116"/>
      <c r="BE83" s="116"/>
      <c r="BF83" s="116"/>
      <c r="BG83" s="116"/>
      <c r="BH83" s="116"/>
      <c r="BI83" s="116"/>
      <c r="BJ83" s="116"/>
      <c r="BK83" s="117"/>
    </row>
    <row r="84" outlineLevel="1">
      <c r="A84" s="120" t="s">
        <v>87</v>
      </c>
      <c r="B84" s="120" t="s">
        <v>70</v>
      </c>
      <c r="C84" s="121" t="s">
        <v>72</v>
      </c>
      <c r="D84" s="122" t="s">
        <v>88</v>
      </c>
      <c r="E84" s="122" t="s">
        <v>89</v>
      </c>
      <c r="F84" s="122" t="s">
        <v>88</v>
      </c>
      <c r="G84" s="122" t="s">
        <v>89</v>
      </c>
      <c r="H84" s="122" t="s">
        <v>88</v>
      </c>
      <c r="I84" s="122" t="s">
        <v>89</v>
      </c>
      <c r="J84" s="122" t="s">
        <v>88</v>
      </c>
      <c r="K84" s="122" t="s">
        <v>89</v>
      </c>
      <c r="L84" s="123" t="s">
        <v>53</v>
      </c>
      <c r="M84" s="122" t="s">
        <v>75</v>
      </c>
      <c r="N84" s="122" t="s">
        <v>76</v>
      </c>
      <c r="O84" s="122" t="s">
        <v>77</v>
      </c>
      <c r="P84" s="122" t="s">
        <v>78</v>
      </c>
      <c r="Q84" s="124" t="s">
        <v>55</v>
      </c>
      <c r="R84" s="125" t="s">
        <v>59</v>
      </c>
      <c r="S84" s="126" t="s">
        <v>60</v>
      </c>
      <c r="T84" s="127" t="s">
        <v>61</v>
      </c>
      <c r="U84" s="126" t="s">
        <v>62</v>
      </c>
      <c r="V84" s="126" t="s">
        <v>63</v>
      </c>
      <c r="W84" s="126" t="s">
        <v>64</v>
      </c>
      <c r="X84" s="126" t="s">
        <v>65</v>
      </c>
      <c r="Y84" s="126" t="s">
        <v>66</v>
      </c>
      <c r="Z84" s="127" t="s">
        <v>67</v>
      </c>
      <c r="AA84" s="125" t="s">
        <v>59</v>
      </c>
      <c r="AB84" s="126" t="s">
        <v>60</v>
      </c>
      <c r="AC84" s="127" t="s">
        <v>61</v>
      </c>
      <c r="AD84" s="126" t="s">
        <v>62</v>
      </c>
      <c r="AE84" s="126" t="s">
        <v>63</v>
      </c>
      <c r="AF84" s="126" t="s">
        <v>64</v>
      </c>
      <c r="AG84" s="126" t="s">
        <v>65</v>
      </c>
      <c r="AH84" s="126" t="s">
        <v>66</v>
      </c>
      <c r="AI84" s="127" t="s">
        <v>67</v>
      </c>
      <c r="AJ84" s="125" t="s">
        <v>59</v>
      </c>
      <c r="AK84" s="126" t="s">
        <v>60</v>
      </c>
      <c r="AL84" s="127" t="s">
        <v>61</v>
      </c>
      <c r="AM84" s="126" t="s">
        <v>62</v>
      </c>
      <c r="AN84" s="126" t="s">
        <v>63</v>
      </c>
      <c r="AO84" s="126" t="s">
        <v>64</v>
      </c>
      <c r="AP84" s="126" t="s">
        <v>65</v>
      </c>
      <c r="AQ84" s="126" t="s">
        <v>66</v>
      </c>
      <c r="AR84" s="127" t="s">
        <v>67</v>
      </c>
      <c r="AS84" s="125" t="s">
        <v>59</v>
      </c>
      <c r="AT84" s="126" t="s">
        <v>60</v>
      </c>
      <c r="AU84" s="127" t="s">
        <v>61</v>
      </c>
      <c r="AV84" s="126" t="s">
        <v>62</v>
      </c>
      <c r="AW84" s="126" t="s">
        <v>63</v>
      </c>
      <c r="AX84" s="126" t="s">
        <v>64</v>
      </c>
      <c r="AY84" s="126" t="s">
        <v>65</v>
      </c>
      <c r="AZ84" s="126" t="s">
        <v>66</v>
      </c>
      <c r="BA84" s="127" t="s">
        <v>67</v>
      </c>
      <c r="BB84" s="128" t="s">
        <v>87</v>
      </c>
      <c r="BC84" s="128" t="s">
        <v>59</v>
      </c>
      <c r="BD84" s="129" t="s">
        <v>60</v>
      </c>
      <c r="BE84" s="127" t="s">
        <v>61</v>
      </c>
      <c r="BF84" s="126" t="s">
        <v>62</v>
      </c>
      <c r="BG84" s="126" t="s">
        <v>63</v>
      </c>
      <c r="BH84" s="126" t="s">
        <v>64</v>
      </c>
      <c r="BI84" s="126" t="s">
        <v>65</v>
      </c>
      <c r="BJ84" s="126" t="s">
        <v>66</v>
      </c>
      <c r="BK84" s="127" t="s">
        <v>67</v>
      </c>
    </row>
    <row r="85" outlineLevel="1">
      <c r="A85" s="130" t="str">
        <f>Var!P2</f>
        <v>รายการ R05 - Unit Link Products [ULP] Premium Receipt VFA</v>
      </c>
      <c r="B85" s="130" t="str">
        <f t="array" ref="B85">iferror(xlookup(A85, Var!P:P, Var!Q:Q), "")</f>
        <v>Feature Priority 1</v>
      </c>
      <c r="C85" s="131" t="str">
        <f t="shared" ref="C85:C88" si="3">IF(E85:E88=1, "Completed", 
    IF(D85:D88="-", "-", 
      IF(D85:D88&gt;0, "In Progress", "Not Start")
    )
  )</f>
        <v>Completed</v>
      </c>
      <c r="D85" s="102">
        <f t="shared" ref="D85:D88" si="4">IFERROR(SUM(AS85:AX85)/BA85, "-")</f>
        <v>1</v>
      </c>
      <c r="E85" s="102">
        <f t="shared" ref="E85:E88" si="5">IFERROR(SUM(AS85:AU85)/BA85, "-")</f>
        <v>1</v>
      </c>
      <c r="F85" s="102" t="str">
        <f t="shared" ref="F85:F88" si="6">IFERROR(SUM(R85:W85)/Z85, "-")</f>
        <v>-</v>
      </c>
      <c r="G85" s="102" t="str">
        <f t="shared" ref="G85:G88" si="7">IFERROR(SUM(R85:T85)/Z85, "-")</f>
        <v>-</v>
      </c>
      <c r="H85" s="102">
        <f t="shared" ref="H85:H88" si="8">IFERROR(SUM(AA85:AF85)/AI85, "-")</f>
        <v>1</v>
      </c>
      <c r="I85" s="102">
        <f t="shared" ref="I85:I88" si="9">IFERROR(SUM(AA85:AC85)/AI85, "-")</f>
        <v>1</v>
      </c>
      <c r="J85" s="102" t="str">
        <f t="shared" ref="J85:J88" si="10">IFERROR(SUM(AJ85:AO85)/AR85, "-")</f>
        <v>-</v>
      </c>
      <c r="K85" s="102" t="str">
        <f t="shared" ref="K85:K88" si="11">IFERROR(SUM(AJ85:AL85)/AR85, "-")</f>
        <v>-</v>
      </c>
      <c r="L85" s="132" t="s">
        <v>90</v>
      </c>
      <c r="M85" s="103">
        <v>46202.0</v>
      </c>
      <c r="N85" s="103"/>
      <c r="O85" s="105">
        <f>if(C85&lt;&gt;"Not Start", minifs('Test Checklist'!$O:$O,'Test Checklist'!$D:$D, $A85), "")</f>
        <v>46203</v>
      </c>
      <c r="P85" s="133">
        <f>if(C85="Completed", MAXIFS('Test Checklist'!$O:$O, 'Test Checklist'!$D:$D, $A85),"")</f>
        <v>46205</v>
      </c>
      <c r="Q85" s="134"/>
      <c r="R85" s="135">
        <f>COUNTIFS('Test Checklist'!$D:$D,$A85,'Test Checklist'!$L:$L,$R$83,'Test Checklist'!$M:$M,R$84)</f>
        <v>0</v>
      </c>
      <c r="S85" s="135">
        <f>COUNTIFS('Test Checklist'!$D:$D,$A85,'Test Checklist'!$L:$L,$R$83,'Test Checklist'!$M:$M,S$84)</f>
        <v>0</v>
      </c>
      <c r="T85" s="135">
        <f>COUNTIFS('Test Checklist'!$D:$D,$A85,'Test Checklist'!$L:$L,$R$83,'Test Checklist'!$M:$M,T$84)</f>
        <v>0</v>
      </c>
      <c r="U85" s="135">
        <f>COUNTIFS('Test Checklist'!$D:$D,$A85,'Test Checklist'!$L:$L,$R$83,'Test Checklist'!$M:$M,U$84)</f>
        <v>0</v>
      </c>
      <c r="V85" s="135">
        <f>COUNTIFS('Test Checklist'!$D:$D,$A85,'Test Checklist'!$L:$L,$R$83,'Test Checklist'!$M:$M,V$84)</f>
        <v>0</v>
      </c>
      <c r="W85" s="135">
        <f>COUNTIFS('Test Checklist'!$D:$D,$A85,'Test Checklist'!$L:$L,$R$83,'Test Checklist'!$M:$M,W$84)</f>
        <v>0</v>
      </c>
      <c r="X85" s="135">
        <f>COUNTIFS('Test Checklist'!$D:$D,$A85,'Test Checklist'!$L:$L,$R$83,'Test Checklist'!$M:$M,X$84)</f>
        <v>0</v>
      </c>
      <c r="Y85" s="135">
        <f>COUNTIFS('Test Checklist'!$D:$D,$A85,'Test Checklist'!$L:$L,$R$83,'Test Checklist'!$M:$M,Y$84)</f>
        <v>0</v>
      </c>
      <c r="Z85" s="136">
        <f t="shared" ref="Z85:Z89" si="12">sum(R85:Y85)</f>
        <v>0</v>
      </c>
      <c r="AA85" s="135">
        <f>COUNTIFS('Test Checklist'!$D:$D,$A85,'Test Checklist'!$L:$L,$AA$83,'Test Checklist'!$M:$M,AA$84)</f>
        <v>0</v>
      </c>
      <c r="AB85" s="135">
        <f>COUNTIFS('Test Checklist'!$D:$D,$A85,'Test Checklist'!$L:$L,$AA$83,'Test Checklist'!$M:$M,AB$84)</f>
        <v>19</v>
      </c>
      <c r="AC85" s="135">
        <f>COUNTIFS('Test Checklist'!$D:$D,$A85,'Test Checklist'!$L:$L,$AA$83,'Test Checklist'!$M:$M,AC$84)</f>
        <v>0</v>
      </c>
      <c r="AD85" s="135">
        <f>COUNTIFS('Test Checklist'!$D:$D,$A85,'Test Checklist'!$L:$L,$AA$83,'Test Checklist'!$M:$M,AD$84)</f>
        <v>0</v>
      </c>
      <c r="AE85" s="135">
        <f>COUNTIFS('Test Checklist'!$D:$D,$A85,'Test Checklist'!$L:$L,$AA$83,'Test Checklist'!$M:$M,AE$84)</f>
        <v>0</v>
      </c>
      <c r="AF85" s="135">
        <f>COUNTIFS('Test Checklist'!$D:$D,$A85,'Test Checklist'!$L:$L,$AA$83,'Test Checklist'!$M:$M,AF$84)</f>
        <v>0</v>
      </c>
      <c r="AG85" s="135">
        <f>COUNTIFS('Test Checklist'!$D:$D,$A85,'Test Checklist'!$L:$L,$AA$83,'Test Checklist'!$M:$M,AG$84)</f>
        <v>0</v>
      </c>
      <c r="AH85" s="135">
        <f>COUNTIFS('Test Checklist'!$D:$D,$A85,'Test Checklist'!$L:$L,$AA$83,'Test Checklist'!$M:$M,AH$84)</f>
        <v>0</v>
      </c>
      <c r="AI85" s="136">
        <f t="shared" ref="AI85:AI89" si="13">sum(AA85:AH85)</f>
        <v>19</v>
      </c>
      <c r="AJ85" s="135">
        <f>COUNTIFS('Test Checklist'!$D:$D,$A85,'Test Checklist'!$L:$L,$AJ$83,'Test Checklist'!$M:$M,AJ$84)</f>
        <v>0</v>
      </c>
      <c r="AK85" s="135">
        <f>COUNTIFS('Test Checklist'!$D:$D,$A85,'Test Checklist'!$L:$L,$AJ$83,'Test Checklist'!$M:$M,AK$84)</f>
        <v>0</v>
      </c>
      <c r="AL85" s="135">
        <f>COUNTIFS('Test Checklist'!$D:$D,$A85,'Test Checklist'!$L:$L,$AJ$83,'Test Checklist'!$M:$M,AL$84)</f>
        <v>0</v>
      </c>
      <c r="AM85" s="135">
        <f>COUNTIFS('Test Checklist'!$D:$D,$A85,'Test Checklist'!$L:$L,$AJ$83,'Test Checklist'!$M:$M,AM$84)</f>
        <v>0</v>
      </c>
      <c r="AN85" s="135">
        <f>COUNTIFS('Test Checklist'!$D:$D,$A85,'Test Checklist'!$L:$L,$AJ$83,'Test Checklist'!$M:$M,AN$84)</f>
        <v>0</v>
      </c>
      <c r="AO85" s="135">
        <f>COUNTIFS('Test Checklist'!$D:$D,$A85,'Test Checklist'!$L:$L,$AJ$83,'Test Checklist'!$M:$M,AO$84)</f>
        <v>0</v>
      </c>
      <c r="AP85" s="135">
        <f>COUNTIFS('Test Checklist'!$D:$D,$A85,'Test Checklist'!$L:$L,$AJ$83,'Test Checklist'!$M:$M,AP$84)</f>
        <v>0</v>
      </c>
      <c r="AQ85" s="135">
        <f>COUNTIFS('Test Checklist'!$D:$D,$A85,'Test Checklist'!$L:$L,$AJ$83,'Test Checklist'!$M:$M,AQ$84)</f>
        <v>0</v>
      </c>
      <c r="AR85" s="136">
        <f t="shared" ref="AR85:AR89" si="14">sum(AJ85:AQ85)</f>
        <v>0</v>
      </c>
      <c r="AS85" s="135">
        <f t="shared" ref="AS85:AZ85" si="1">R85+AA85+AJ85</f>
        <v>0</v>
      </c>
      <c r="AT85" s="135">
        <f t="shared" si="1"/>
        <v>19</v>
      </c>
      <c r="AU85" s="135">
        <f t="shared" si="1"/>
        <v>0</v>
      </c>
      <c r="AV85" s="135">
        <f t="shared" si="1"/>
        <v>0</v>
      </c>
      <c r="AW85" s="135">
        <f t="shared" si="1"/>
        <v>0</v>
      </c>
      <c r="AX85" s="135">
        <f t="shared" si="1"/>
        <v>0</v>
      </c>
      <c r="AY85" s="135">
        <f t="shared" si="1"/>
        <v>0</v>
      </c>
      <c r="AZ85" s="135">
        <f t="shared" si="1"/>
        <v>0</v>
      </c>
      <c r="BA85" s="136">
        <f t="shared" ref="BA85:BA89" si="16">sum(AS85:AZ85)</f>
        <v>19</v>
      </c>
      <c r="BB85" s="137" t="str">
        <f t="shared" ref="BB85:BB88" si="17">A85</f>
        <v>รายการ R05 - Unit Link Products [ULP] Premium Receipt VFA</v>
      </c>
      <c r="BC85" s="138">
        <f t="shared" ref="BC85:BJ85" si="2">iferror(AS85/$BA85, 0)</f>
        <v>0</v>
      </c>
      <c r="BD85" s="138">
        <f t="shared" si="2"/>
        <v>1</v>
      </c>
      <c r="BE85" s="138">
        <f t="shared" si="2"/>
        <v>0</v>
      </c>
      <c r="BF85" s="138">
        <f t="shared" si="2"/>
        <v>0</v>
      </c>
      <c r="BG85" s="138">
        <f t="shared" si="2"/>
        <v>0</v>
      </c>
      <c r="BH85" s="138">
        <f t="shared" si="2"/>
        <v>0</v>
      </c>
      <c r="BI85" s="138">
        <f t="shared" si="2"/>
        <v>0</v>
      </c>
      <c r="BJ85" s="138">
        <f t="shared" si="2"/>
        <v>0</v>
      </c>
      <c r="BK85" s="139">
        <f t="shared" ref="BK85:BK89" si="19">sum(BC85:BJ85)</f>
        <v>1</v>
      </c>
    </row>
    <row r="86" outlineLevel="1">
      <c r="A86" s="130" t="str">
        <f>Var!P3</f>
        <v>รายการ R06 - Unit Link Products [ULP] Commission override VFA</v>
      </c>
      <c r="B86" s="130" t="str">
        <f t="array" ref="B86">iferror(xlookup(A86, Var!P:P, Var!Q:Q), "")</f>
        <v>Feature Priority 1</v>
      </c>
      <c r="C86" s="131" t="str">
        <f t="shared" si="3"/>
        <v>Completed</v>
      </c>
      <c r="D86" s="102">
        <f t="shared" si="4"/>
        <v>1</v>
      </c>
      <c r="E86" s="102">
        <f t="shared" si="5"/>
        <v>1</v>
      </c>
      <c r="F86" s="102" t="str">
        <f t="shared" si="6"/>
        <v>-</v>
      </c>
      <c r="G86" s="102" t="str">
        <f t="shared" si="7"/>
        <v>-</v>
      </c>
      <c r="H86" s="102">
        <f t="shared" si="8"/>
        <v>1</v>
      </c>
      <c r="I86" s="102">
        <f t="shared" si="9"/>
        <v>1</v>
      </c>
      <c r="J86" s="102" t="str">
        <f t="shared" si="10"/>
        <v>-</v>
      </c>
      <c r="K86" s="102" t="str">
        <f t="shared" si="11"/>
        <v>-</v>
      </c>
      <c r="L86" s="132" t="s">
        <v>90</v>
      </c>
      <c r="M86" s="103">
        <v>46202.0</v>
      </c>
      <c r="N86" s="103"/>
      <c r="O86" s="105">
        <f>if(C86&lt;&gt;"Not Start", minifs('Test Checklist'!$O:$O,'Test Checklist'!$D:$D, $A86), "")</f>
        <v>46205</v>
      </c>
      <c r="P86" s="133">
        <f>if(C86="Completed", MAXIFS('Test Checklist'!$O:$O, 'Test Checklist'!$D:$D, $A86),"")</f>
        <v>46205</v>
      </c>
      <c r="Q86" s="134"/>
      <c r="R86" s="135">
        <f>COUNTIFS('Test Checklist'!$D:$D,$A86,'Test Checklist'!$L:$L,$R$83,'Test Checklist'!$M:$M,R$84)</f>
        <v>0</v>
      </c>
      <c r="S86" s="135">
        <f>COUNTIFS('Test Checklist'!$D:$D,$A86,'Test Checklist'!$L:$L,$R$83,'Test Checklist'!$M:$M,S$84)</f>
        <v>0</v>
      </c>
      <c r="T86" s="135">
        <f>COUNTIFS('Test Checklist'!$D:$D,$A86,'Test Checklist'!$L:$L,$R$83,'Test Checklist'!$M:$M,T$84)</f>
        <v>0</v>
      </c>
      <c r="U86" s="135">
        <f>COUNTIFS('Test Checklist'!$D:$D,$A86,'Test Checklist'!$L:$L,$R$83,'Test Checklist'!$M:$M,U$84)</f>
        <v>0</v>
      </c>
      <c r="V86" s="135">
        <f>COUNTIFS('Test Checklist'!$D:$D,$A86,'Test Checklist'!$L:$L,$R$83,'Test Checklist'!$M:$M,V$84)</f>
        <v>0</v>
      </c>
      <c r="W86" s="135">
        <f>COUNTIFS('Test Checklist'!$D:$D,$A86,'Test Checklist'!$L:$L,$R$83,'Test Checklist'!$M:$M,W$84)</f>
        <v>0</v>
      </c>
      <c r="X86" s="135">
        <f>COUNTIFS('Test Checklist'!$D:$D,$A86,'Test Checklist'!$L:$L,$R$83,'Test Checklist'!$M:$M,X$84)</f>
        <v>0</v>
      </c>
      <c r="Y86" s="135">
        <f>COUNTIFS('Test Checklist'!$D:$D,$A86,'Test Checklist'!$L:$L,$R$83,'Test Checklist'!$M:$M,Y$84)</f>
        <v>0</v>
      </c>
      <c r="Z86" s="136">
        <f t="shared" si="12"/>
        <v>0</v>
      </c>
      <c r="AA86" s="135">
        <f>COUNTIFS('Test Checklist'!$D:$D,$A86,'Test Checklist'!$L:$L,$AA$83,'Test Checklist'!$M:$M,AA$84)</f>
        <v>0</v>
      </c>
      <c r="AB86" s="135">
        <f>COUNTIFS('Test Checklist'!$D:$D,$A86,'Test Checklist'!$L:$L,$AA$83,'Test Checklist'!$M:$M,AB$84)</f>
        <v>23</v>
      </c>
      <c r="AC86" s="135">
        <f>COUNTIFS('Test Checklist'!$D:$D,$A86,'Test Checklist'!$L:$L,$AA$83,'Test Checklist'!$M:$M,AC$84)</f>
        <v>0</v>
      </c>
      <c r="AD86" s="135">
        <f>COUNTIFS('Test Checklist'!$D:$D,$A86,'Test Checklist'!$L:$L,$AA$83,'Test Checklist'!$M:$M,AD$84)</f>
        <v>0</v>
      </c>
      <c r="AE86" s="135">
        <f>COUNTIFS('Test Checklist'!$D:$D,$A86,'Test Checklist'!$L:$L,$AA$83,'Test Checklist'!$M:$M,AE$84)</f>
        <v>0</v>
      </c>
      <c r="AF86" s="135">
        <f>COUNTIFS('Test Checklist'!$D:$D,$A86,'Test Checklist'!$L:$L,$AA$83,'Test Checklist'!$M:$M,AF$84)</f>
        <v>0</v>
      </c>
      <c r="AG86" s="135">
        <f>COUNTIFS('Test Checklist'!$D:$D,$A86,'Test Checklist'!$L:$L,$AA$83,'Test Checklist'!$M:$M,AG$84)</f>
        <v>0</v>
      </c>
      <c r="AH86" s="135">
        <f>COUNTIFS('Test Checklist'!$D:$D,$A86,'Test Checklist'!$L:$L,$AA$83,'Test Checklist'!$M:$M,AH$84)</f>
        <v>0</v>
      </c>
      <c r="AI86" s="136">
        <f t="shared" si="13"/>
        <v>23</v>
      </c>
      <c r="AJ86" s="135">
        <f>COUNTIFS('Test Checklist'!$D:$D,$A86,'Test Checklist'!$L:$L,$AJ$83,'Test Checklist'!$M:$M,AJ$84)</f>
        <v>0</v>
      </c>
      <c r="AK86" s="135">
        <f>COUNTIFS('Test Checklist'!$D:$D,$A86,'Test Checklist'!$L:$L,$AJ$83,'Test Checklist'!$M:$M,AK$84)</f>
        <v>0</v>
      </c>
      <c r="AL86" s="135">
        <f>COUNTIFS('Test Checklist'!$D:$D,$A86,'Test Checklist'!$L:$L,$AJ$83,'Test Checklist'!$M:$M,AL$84)</f>
        <v>0</v>
      </c>
      <c r="AM86" s="135">
        <f>COUNTIFS('Test Checklist'!$D:$D,$A86,'Test Checklist'!$L:$L,$AJ$83,'Test Checklist'!$M:$M,AM$84)</f>
        <v>0</v>
      </c>
      <c r="AN86" s="135">
        <f>COUNTIFS('Test Checklist'!$D:$D,$A86,'Test Checklist'!$L:$L,$AJ$83,'Test Checklist'!$M:$M,AN$84)</f>
        <v>0</v>
      </c>
      <c r="AO86" s="135">
        <f>COUNTIFS('Test Checklist'!$D:$D,$A86,'Test Checklist'!$L:$L,$AJ$83,'Test Checklist'!$M:$M,AO$84)</f>
        <v>0</v>
      </c>
      <c r="AP86" s="135">
        <f>COUNTIFS('Test Checklist'!$D:$D,$A86,'Test Checklist'!$L:$L,$AJ$83,'Test Checklist'!$M:$M,AP$84)</f>
        <v>0</v>
      </c>
      <c r="AQ86" s="135">
        <f>COUNTIFS('Test Checklist'!$D:$D,$A86,'Test Checklist'!$L:$L,$AJ$83,'Test Checklist'!$M:$M,AQ$84)</f>
        <v>0</v>
      </c>
      <c r="AR86" s="136">
        <f t="shared" si="14"/>
        <v>0</v>
      </c>
      <c r="AS86" s="135">
        <f t="shared" ref="AS86:AZ86" si="15">R86+AA86+AJ86</f>
        <v>0</v>
      </c>
      <c r="AT86" s="135">
        <f t="shared" si="15"/>
        <v>23</v>
      </c>
      <c r="AU86" s="135">
        <f t="shared" si="15"/>
        <v>0</v>
      </c>
      <c r="AV86" s="135">
        <f t="shared" si="15"/>
        <v>0</v>
      </c>
      <c r="AW86" s="135">
        <f t="shared" si="15"/>
        <v>0</v>
      </c>
      <c r="AX86" s="135">
        <f t="shared" si="15"/>
        <v>0</v>
      </c>
      <c r="AY86" s="135">
        <f t="shared" si="15"/>
        <v>0</v>
      </c>
      <c r="AZ86" s="135">
        <f t="shared" si="15"/>
        <v>0</v>
      </c>
      <c r="BA86" s="136">
        <f t="shared" si="16"/>
        <v>23</v>
      </c>
      <c r="BB86" s="137" t="str">
        <f t="shared" si="17"/>
        <v>รายการ R06 - Unit Link Products [ULP] Commission override VFA</v>
      </c>
      <c r="BC86" s="138">
        <f t="shared" ref="BC86:BJ86" si="18">iferror(AS86/$BA86, 0)</f>
        <v>0</v>
      </c>
      <c r="BD86" s="138">
        <f t="shared" si="18"/>
        <v>1</v>
      </c>
      <c r="BE86" s="138">
        <f t="shared" si="18"/>
        <v>0</v>
      </c>
      <c r="BF86" s="138">
        <f t="shared" si="18"/>
        <v>0</v>
      </c>
      <c r="BG86" s="138">
        <f t="shared" si="18"/>
        <v>0</v>
      </c>
      <c r="BH86" s="138">
        <f t="shared" si="18"/>
        <v>0</v>
      </c>
      <c r="BI86" s="138">
        <f t="shared" si="18"/>
        <v>0</v>
      </c>
      <c r="BJ86" s="138">
        <f t="shared" si="18"/>
        <v>0</v>
      </c>
      <c r="BK86" s="139">
        <f t="shared" si="19"/>
        <v>1</v>
      </c>
    </row>
    <row r="87" outlineLevel="1">
      <c r="A87" s="130" t="str">
        <f>Var!P4</f>
        <v>รายการ R02 - Ordinary Products [OP] Commission override GMM</v>
      </c>
      <c r="B87" s="130" t="str">
        <f t="array" ref="B87">iferror(xlookup(A87, Var!P:P, Var!Q:Q), "")</f>
        <v>Feature Priority 1</v>
      </c>
      <c r="C87" s="131" t="str">
        <f t="shared" si="3"/>
        <v>Completed</v>
      </c>
      <c r="D87" s="102">
        <f t="shared" si="4"/>
        <v>1</v>
      </c>
      <c r="E87" s="102">
        <f t="shared" si="5"/>
        <v>1</v>
      </c>
      <c r="F87" s="102" t="str">
        <f t="shared" si="6"/>
        <v>-</v>
      </c>
      <c r="G87" s="102" t="str">
        <f t="shared" si="7"/>
        <v>-</v>
      </c>
      <c r="H87" s="102">
        <f t="shared" si="8"/>
        <v>1</v>
      </c>
      <c r="I87" s="102">
        <f t="shared" si="9"/>
        <v>1</v>
      </c>
      <c r="J87" s="102" t="str">
        <f t="shared" si="10"/>
        <v>-</v>
      </c>
      <c r="K87" s="102" t="str">
        <f t="shared" si="11"/>
        <v>-</v>
      </c>
      <c r="L87" s="132" t="s">
        <v>90</v>
      </c>
      <c r="M87" s="103">
        <v>46199.0</v>
      </c>
      <c r="N87" s="103"/>
      <c r="O87" s="105">
        <f>if(C87&lt;&gt;"Not Start", minifs('Test Checklist'!$O:$O,'Test Checklist'!$D:$D, $A87), "")</f>
        <v>46199</v>
      </c>
      <c r="P87" s="133">
        <f>if(C87="Completed", MAXIFS('Test Checklist'!$O:$O, 'Test Checklist'!$D:$D, $A87),"")</f>
        <v>46202</v>
      </c>
      <c r="Q87" s="134"/>
      <c r="R87" s="135">
        <f>COUNTIFS('Test Checklist'!$D:$D,$A87,'Test Checklist'!$L:$L,$R$83,'Test Checklist'!$M:$M,R$84)</f>
        <v>0</v>
      </c>
      <c r="S87" s="135">
        <f>COUNTIFS('Test Checklist'!$D:$D,$A87,'Test Checklist'!$L:$L,$R$83,'Test Checklist'!$M:$M,S$84)</f>
        <v>0</v>
      </c>
      <c r="T87" s="135">
        <f>COUNTIFS('Test Checklist'!$D:$D,$A87,'Test Checklist'!$L:$L,$R$83,'Test Checklist'!$M:$M,T$84)</f>
        <v>0</v>
      </c>
      <c r="U87" s="135">
        <f>COUNTIFS('Test Checklist'!$D:$D,$A87,'Test Checklist'!$L:$L,$R$83,'Test Checklist'!$M:$M,U$84)</f>
        <v>0</v>
      </c>
      <c r="V87" s="135">
        <f>COUNTIFS('Test Checklist'!$D:$D,$A87,'Test Checklist'!$L:$L,$R$83,'Test Checklist'!$M:$M,V$84)</f>
        <v>0</v>
      </c>
      <c r="W87" s="135">
        <f>COUNTIFS('Test Checklist'!$D:$D,$A87,'Test Checklist'!$L:$L,$R$83,'Test Checklist'!$M:$M,W$84)</f>
        <v>0</v>
      </c>
      <c r="X87" s="135">
        <f>COUNTIFS('Test Checklist'!$D:$D,$A87,'Test Checklist'!$L:$L,$R$83,'Test Checklist'!$M:$M,X$84)</f>
        <v>0</v>
      </c>
      <c r="Y87" s="135">
        <f>COUNTIFS('Test Checklist'!$D:$D,$A87,'Test Checklist'!$L:$L,$R$83,'Test Checklist'!$M:$M,Y$84)</f>
        <v>0</v>
      </c>
      <c r="Z87" s="136">
        <f t="shared" si="12"/>
        <v>0</v>
      </c>
      <c r="AA87" s="135">
        <f>COUNTIFS('Test Checklist'!$D:$D,$A87,'Test Checklist'!$L:$L,$AA$83,'Test Checklist'!$M:$M,AA$84)</f>
        <v>0</v>
      </c>
      <c r="AB87" s="135">
        <f>COUNTIFS('Test Checklist'!$D:$D,$A87,'Test Checklist'!$L:$L,$AA$83,'Test Checklist'!$M:$M,AB$84)</f>
        <v>21</v>
      </c>
      <c r="AC87" s="135">
        <f>COUNTIFS('Test Checklist'!$D:$D,$A87,'Test Checklist'!$L:$L,$AA$83,'Test Checklist'!$M:$M,AC$84)</f>
        <v>0</v>
      </c>
      <c r="AD87" s="135">
        <f>COUNTIFS('Test Checklist'!$D:$D,$A87,'Test Checklist'!$L:$L,$AA$83,'Test Checklist'!$M:$M,AD$84)</f>
        <v>0</v>
      </c>
      <c r="AE87" s="135">
        <f>COUNTIFS('Test Checklist'!$D:$D,$A87,'Test Checklist'!$L:$L,$AA$83,'Test Checklist'!$M:$M,AE$84)</f>
        <v>0</v>
      </c>
      <c r="AF87" s="135">
        <f>COUNTIFS('Test Checklist'!$D:$D,$A87,'Test Checklist'!$L:$L,$AA$83,'Test Checklist'!$M:$M,AF$84)</f>
        <v>0</v>
      </c>
      <c r="AG87" s="135">
        <f>COUNTIFS('Test Checklist'!$D:$D,$A87,'Test Checklist'!$L:$L,$AA$83,'Test Checklist'!$M:$M,AG$84)</f>
        <v>0</v>
      </c>
      <c r="AH87" s="135">
        <f>COUNTIFS('Test Checklist'!$D:$D,$A87,'Test Checklist'!$L:$L,$AA$83,'Test Checklist'!$M:$M,AH$84)</f>
        <v>0</v>
      </c>
      <c r="AI87" s="136">
        <f t="shared" si="13"/>
        <v>21</v>
      </c>
      <c r="AJ87" s="135">
        <f>COUNTIFS('Test Checklist'!$D:$D,$A87,'Test Checklist'!$L:$L,$AJ$83,'Test Checklist'!$M:$M,AJ$84)</f>
        <v>0</v>
      </c>
      <c r="AK87" s="135">
        <f>COUNTIFS('Test Checklist'!$D:$D,$A87,'Test Checklist'!$L:$L,$AJ$83,'Test Checklist'!$M:$M,AK$84)</f>
        <v>0</v>
      </c>
      <c r="AL87" s="135">
        <f>COUNTIFS('Test Checklist'!$D:$D,$A87,'Test Checklist'!$L:$L,$AJ$83,'Test Checklist'!$M:$M,AL$84)</f>
        <v>0</v>
      </c>
      <c r="AM87" s="135">
        <f>COUNTIFS('Test Checklist'!$D:$D,$A87,'Test Checklist'!$L:$L,$AJ$83,'Test Checklist'!$M:$M,AM$84)</f>
        <v>0</v>
      </c>
      <c r="AN87" s="135">
        <f>COUNTIFS('Test Checklist'!$D:$D,$A87,'Test Checklist'!$L:$L,$AJ$83,'Test Checklist'!$M:$M,AN$84)</f>
        <v>0</v>
      </c>
      <c r="AO87" s="135">
        <f>COUNTIFS('Test Checklist'!$D:$D,$A87,'Test Checklist'!$L:$L,$AJ$83,'Test Checklist'!$M:$M,AO$84)</f>
        <v>0</v>
      </c>
      <c r="AP87" s="135">
        <f>COUNTIFS('Test Checklist'!$D:$D,$A87,'Test Checklist'!$L:$L,$AJ$83,'Test Checklist'!$M:$M,AP$84)</f>
        <v>0</v>
      </c>
      <c r="AQ87" s="135">
        <f>COUNTIFS('Test Checklist'!$D:$D,$A87,'Test Checklist'!$L:$L,$AJ$83,'Test Checklist'!$M:$M,AQ$84)</f>
        <v>0</v>
      </c>
      <c r="AR87" s="136">
        <f t="shared" si="14"/>
        <v>0</v>
      </c>
      <c r="AS87" s="135">
        <f t="shared" ref="AS87:AZ87" si="20">R87+AA87+AJ87</f>
        <v>0</v>
      </c>
      <c r="AT87" s="135">
        <f t="shared" si="20"/>
        <v>21</v>
      </c>
      <c r="AU87" s="135">
        <f t="shared" si="20"/>
        <v>0</v>
      </c>
      <c r="AV87" s="135">
        <f t="shared" si="20"/>
        <v>0</v>
      </c>
      <c r="AW87" s="135">
        <f t="shared" si="20"/>
        <v>0</v>
      </c>
      <c r="AX87" s="135">
        <f t="shared" si="20"/>
        <v>0</v>
      </c>
      <c r="AY87" s="135">
        <f t="shared" si="20"/>
        <v>0</v>
      </c>
      <c r="AZ87" s="135">
        <f t="shared" si="20"/>
        <v>0</v>
      </c>
      <c r="BA87" s="136">
        <f t="shared" si="16"/>
        <v>21</v>
      </c>
      <c r="BB87" s="137" t="str">
        <f t="shared" si="17"/>
        <v>รายการ R02 - Ordinary Products [OP] Commission override GMM</v>
      </c>
      <c r="BC87" s="138">
        <f t="shared" ref="BC87:BJ87" si="21">iferror(AS87/$BA87, 0)</f>
        <v>0</v>
      </c>
      <c r="BD87" s="138">
        <f t="shared" si="21"/>
        <v>1</v>
      </c>
      <c r="BE87" s="138">
        <f t="shared" si="21"/>
        <v>0</v>
      </c>
      <c r="BF87" s="138">
        <f t="shared" si="21"/>
        <v>0</v>
      </c>
      <c r="BG87" s="138">
        <f t="shared" si="21"/>
        <v>0</v>
      </c>
      <c r="BH87" s="138">
        <f t="shared" si="21"/>
        <v>0</v>
      </c>
      <c r="BI87" s="138">
        <f t="shared" si="21"/>
        <v>0</v>
      </c>
      <c r="BJ87" s="138">
        <f t="shared" si="21"/>
        <v>0</v>
      </c>
      <c r="BK87" s="139">
        <f t="shared" si="19"/>
        <v>1</v>
      </c>
    </row>
    <row r="88" outlineLevel="1">
      <c r="A88" s="130" t="str">
        <f>Var!P5</f>
        <v>รายการ R14 - Ordinary Products [OP] APL and PL GMM</v>
      </c>
      <c r="B88" s="130" t="str">
        <f t="array" ref="B88">iferror(xlookup(A88, Var!P:P, Var!Q:Q), "")</f>
        <v>Feature Priority 1</v>
      </c>
      <c r="C88" s="131" t="str">
        <f t="shared" si="3"/>
        <v>In Progress</v>
      </c>
      <c r="D88" s="102">
        <f t="shared" si="4"/>
        <v>1</v>
      </c>
      <c r="E88" s="102">
        <f t="shared" si="5"/>
        <v>0</v>
      </c>
      <c r="F88" s="102" t="str">
        <f t="shared" si="6"/>
        <v>-</v>
      </c>
      <c r="G88" s="102" t="str">
        <f t="shared" si="7"/>
        <v>-</v>
      </c>
      <c r="H88" s="102">
        <f t="shared" si="8"/>
        <v>1</v>
      </c>
      <c r="I88" s="102">
        <f t="shared" si="9"/>
        <v>0</v>
      </c>
      <c r="J88" s="102" t="str">
        <f t="shared" si="10"/>
        <v>-</v>
      </c>
      <c r="K88" s="102" t="str">
        <f t="shared" si="11"/>
        <v>-</v>
      </c>
      <c r="L88" s="132" t="s">
        <v>90</v>
      </c>
      <c r="M88" s="103">
        <v>46212.0</v>
      </c>
      <c r="N88" s="103"/>
      <c r="O88" s="105">
        <f>if(C88&lt;&gt;"Not Start", minifs('Test Checklist'!$O:$O,'Test Checklist'!$D:$D, $A88), "")</f>
        <v>46205</v>
      </c>
      <c r="P88" s="133" t="str">
        <f>if(C88="Completed", MAXIFS('Test Checklist'!$O:$O, 'Test Checklist'!$D:$D, $A88),"")</f>
        <v/>
      </c>
      <c r="Q88" s="134"/>
      <c r="R88" s="135">
        <f>COUNTIFS('Test Checklist'!$D:$D,$A88,'Test Checklist'!$L:$L,$R$83,'Test Checklist'!$M:$M,R$84)</f>
        <v>0</v>
      </c>
      <c r="S88" s="135">
        <f>COUNTIFS('Test Checklist'!$D:$D,$A88,'Test Checklist'!$L:$L,$R$83,'Test Checklist'!$M:$M,S$84)</f>
        <v>0</v>
      </c>
      <c r="T88" s="135">
        <f>COUNTIFS('Test Checklist'!$D:$D,$A88,'Test Checklist'!$L:$L,$R$83,'Test Checklist'!$M:$M,T$84)</f>
        <v>0</v>
      </c>
      <c r="U88" s="135">
        <f>COUNTIFS('Test Checklist'!$D:$D,$A88,'Test Checklist'!$L:$L,$R$83,'Test Checklist'!$M:$M,U$84)</f>
        <v>0</v>
      </c>
      <c r="V88" s="135">
        <f>COUNTIFS('Test Checklist'!$D:$D,$A88,'Test Checklist'!$L:$L,$R$83,'Test Checklist'!$M:$M,V$84)</f>
        <v>0</v>
      </c>
      <c r="W88" s="135">
        <f>COUNTIFS('Test Checklist'!$D:$D,$A88,'Test Checklist'!$L:$L,$R$83,'Test Checklist'!$M:$M,W$84)</f>
        <v>0</v>
      </c>
      <c r="X88" s="135">
        <f>COUNTIFS('Test Checklist'!$D:$D,$A88,'Test Checklist'!$L:$L,$R$83,'Test Checklist'!$M:$M,X$84)</f>
        <v>0</v>
      </c>
      <c r="Y88" s="135">
        <f>COUNTIFS('Test Checklist'!$D:$D,$A88,'Test Checklist'!$L:$L,$R$83,'Test Checklist'!$M:$M,Y$84)</f>
        <v>0</v>
      </c>
      <c r="Z88" s="136">
        <f t="shared" si="12"/>
        <v>0</v>
      </c>
      <c r="AA88" s="135">
        <f>COUNTIFS('Test Checklist'!$D:$D,$A88,'Test Checklist'!$L:$L,$AA$83,'Test Checklist'!$M:$M,AA$84)</f>
        <v>0</v>
      </c>
      <c r="AB88" s="135">
        <f>COUNTIFS('Test Checklist'!$D:$D,$A88,'Test Checklist'!$L:$L,$AA$83,'Test Checklist'!$M:$M,AB$84)</f>
        <v>0</v>
      </c>
      <c r="AC88" s="135">
        <f>COUNTIFS('Test Checklist'!$D:$D,$A88,'Test Checklist'!$L:$L,$AA$83,'Test Checklist'!$M:$M,AC$84)</f>
        <v>0</v>
      </c>
      <c r="AD88" s="135">
        <f>COUNTIFS('Test Checklist'!$D:$D,$A88,'Test Checklist'!$L:$L,$AA$83,'Test Checklist'!$M:$M,AD$84)</f>
        <v>0</v>
      </c>
      <c r="AE88" s="135">
        <f>COUNTIFS('Test Checklist'!$D:$D,$A88,'Test Checklist'!$L:$L,$AA$83,'Test Checklist'!$M:$M,AE$84)</f>
        <v>0</v>
      </c>
      <c r="AF88" s="135">
        <f>COUNTIFS('Test Checklist'!$D:$D,$A88,'Test Checklist'!$L:$L,$AA$83,'Test Checklist'!$M:$M,AF$84)</f>
        <v>12</v>
      </c>
      <c r="AG88" s="135">
        <f>COUNTIFS('Test Checklist'!$D:$D,$A88,'Test Checklist'!$L:$L,$AA$83,'Test Checklist'!$M:$M,AG$84)</f>
        <v>0</v>
      </c>
      <c r="AH88" s="135">
        <f>COUNTIFS('Test Checklist'!$D:$D,$A88,'Test Checklist'!$L:$L,$AA$83,'Test Checklist'!$M:$M,AH$84)</f>
        <v>0</v>
      </c>
      <c r="AI88" s="136">
        <f t="shared" si="13"/>
        <v>12</v>
      </c>
      <c r="AJ88" s="135">
        <f>COUNTIFS('Test Checklist'!$D:$D,$A88,'Test Checklist'!$L:$L,$AJ$83,'Test Checklist'!$M:$M,AJ$84)</f>
        <v>0</v>
      </c>
      <c r="AK88" s="135">
        <f>COUNTIFS('Test Checklist'!$D:$D,$A88,'Test Checklist'!$L:$L,$AJ$83,'Test Checklist'!$M:$M,AK$84)</f>
        <v>0</v>
      </c>
      <c r="AL88" s="135">
        <f>COUNTIFS('Test Checklist'!$D:$D,$A88,'Test Checklist'!$L:$L,$AJ$83,'Test Checklist'!$M:$M,AL$84)</f>
        <v>0</v>
      </c>
      <c r="AM88" s="135">
        <f>COUNTIFS('Test Checklist'!$D:$D,$A88,'Test Checklist'!$L:$L,$AJ$83,'Test Checklist'!$M:$M,AM$84)</f>
        <v>0</v>
      </c>
      <c r="AN88" s="135">
        <f>COUNTIFS('Test Checklist'!$D:$D,$A88,'Test Checklist'!$L:$L,$AJ$83,'Test Checklist'!$M:$M,AN$84)</f>
        <v>0</v>
      </c>
      <c r="AO88" s="135">
        <f>COUNTIFS('Test Checklist'!$D:$D,$A88,'Test Checklist'!$L:$L,$AJ$83,'Test Checklist'!$M:$M,AO$84)</f>
        <v>0</v>
      </c>
      <c r="AP88" s="135">
        <f>COUNTIFS('Test Checklist'!$D:$D,$A88,'Test Checklist'!$L:$L,$AJ$83,'Test Checklist'!$M:$M,AP$84)</f>
        <v>0</v>
      </c>
      <c r="AQ88" s="135">
        <f>COUNTIFS('Test Checklist'!$D:$D,$A88,'Test Checklist'!$L:$L,$AJ$83,'Test Checklist'!$M:$M,AQ$84)</f>
        <v>0</v>
      </c>
      <c r="AR88" s="136">
        <f t="shared" si="14"/>
        <v>0</v>
      </c>
      <c r="AS88" s="135">
        <f t="shared" ref="AS88:AZ88" si="22">R88+AA88+AJ88</f>
        <v>0</v>
      </c>
      <c r="AT88" s="135">
        <f t="shared" si="22"/>
        <v>0</v>
      </c>
      <c r="AU88" s="135">
        <f t="shared" si="22"/>
        <v>0</v>
      </c>
      <c r="AV88" s="135">
        <f t="shared" si="22"/>
        <v>0</v>
      </c>
      <c r="AW88" s="135">
        <f t="shared" si="22"/>
        <v>0</v>
      </c>
      <c r="AX88" s="135">
        <f t="shared" si="22"/>
        <v>12</v>
      </c>
      <c r="AY88" s="135">
        <f t="shared" si="22"/>
        <v>0</v>
      </c>
      <c r="AZ88" s="135">
        <f t="shared" si="22"/>
        <v>0</v>
      </c>
      <c r="BA88" s="136">
        <f t="shared" si="16"/>
        <v>12</v>
      </c>
      <c r="BB88" s="137" t="str">
        <f t="shared" si="17"/>
        <v>รายการ R14 - Ordinary Products [OP] APL and PL GMM</v>
      </c>
      <c r="BC88" s="138">
        <f t="shared" ref="BC88:BJ88" si="23">iferror(AS88/$BA88, 0)</f>
        <v>0</v>
      </c>
      <c r="BD88" s="138">
        <f t="shared" si="23"/>
        <v>0</v>
      </c>
      <c r="BE88" s="138">
        <f t="shared" si="23"/>
        <v>0</v>
      </c>
      <c r="BF88" s="138">
        <f t="shared" si="23"/>
        <v>0</v>
      </c>
      <c r="BG88" s="138">
        <f t="shared" si="23"/>
        <v>0</v>
      </c>
      <c r="BH88" s="138">
        <f t="shared" si="23"/>
        <v>1</v>
      </c>
      <c r="BI88" s="138">
        <f t="shared" si="23"/>
        <v>0</v>
      </c>
      <c r="BJ88" s="138">
        <f t="shared" si="23"/>
        <v>0</v>
      </c>
      <c r="BK88" s="139">
        <f t="shared" si="19"/>
        <v>1</v>
      </c>
    </row>
    <row r="89" outlineLevel="1">
      <c r="A89" s="140" t="s">
        <v>91</v>
      </c>
      <c r="B89" s="140"/>
      <c r="C89" s="141"/>
      <c r="D89" s="142">
        <f t="shared" ref="D89:K89" si="24">iferror(average(D85:D88), 0)</f>
        <v>1</v>
      </c>
      <c r="E89" s="142">
        <f t="shared" si="24"/>
        <v>0.75</v>
      </c>
      <c r="F89" s="142">
        <f t="shared" si="24"/>
        <v>0</v>
      </c>
      <c r="G89" s="142">
        <f t="shared" si="24"/>
        <v>0</v>
      </c>
      <c r="H89" s="142">
        <f t="shared" si="24"/>
        <v>1</v>
      </c>
      <c r="I89" s="142">
        <f t="shared" si="24"/>
        <v>0.75</v>
      </c>
      <c r="J89" s="142">
        <f t="shared" si="24"/>
        <v>0</v>
      </c>
      <c r="K89" s="142">
        <f t="shared" si="24"/>
        <v>0</v>
      </c>
      <c r="L89" s="143"/>
      <c r="M89" s="144"/>
      <c r="N89" s="144"/>
      <c r="O89" s="144"/>
      <c r="P89" s="144"/>
      <c r="Q89" s="144"/>
      <c r="R89" s="136">
        <f t="shared" ref="R89:Y89" si="25">subtotal(9,R85:R88)</f>
        <v>0</v>
      </c>
      <c r="S89" s="136">
        <f t="shared" si="25"/>
        <v>0</v>
      </c>
      <c r="T89" s="136">
        <f t="shared" si="25"/>
        <v>0</v>
      </c>
      <c r="U89" s="136">
        <f t="shared" si="25"/>
        <v>0</v>
      </c>
      <c r="V89" s="136">
        <f t="shared" si="25"/>
        <v>0</v>
      </c>
      <c r="W89" s="136">
        <f t="shared" si="25"/>
        <v>0</v>
      </c>
      <c r="X89" s="136">
        <f t="shared" si="25"/>
        <v>0</v>
      </c>
      <c r="Y89" s="136">
        <f t="shared" si="25"/>
        <v>0</v>
      </c>
      <c r="Z89" s="136">
        <f t="shared" si="12"/>
        <v>0</v>
      </c>
      <c r="AA89" s="136">
        <f t="shared" ref="AA89:AH89" si="26">subtotal(9,AA85:AA88)</f>
        <v>0</v>
      </c>
      <c r="AB89" s="136">
        <f t="shared" si="26"/>
        <v>63</v>
      </c>
      <c r="AC89" s="136">
        <f t="shared" si="26"/>
        <v>0</v>
      </c>
      <c r="AD89" s="136">
        <f t="shared" si="26"/>
        <v>0</v>
      </c>
      <c r="AE89" s="136">
        <f t="shared" si="26"/>
        <v>0</v>
      </c>
      <c r="AF89" s="136">
        <f t="shared" si="26"/>
        <v>12</v>
      </c>
      <c r="AG89" s="136">
        <f t="shared" si="26"/>
        <v>0</v>
      </c>
      <c r="AH89" s="136">
        <f t="shared" si="26"/>
        <v>0</v>
      </c>
      <c r="AI89" s="136">
        <f t="shared" si="13"/>
        <v>75</v>
      </c>
      <c r="AJ89" s="136">
        <f t="shared" ref="AJ89:AQ89" si="27">subtotal(9,AJ85:AJ88)</f>
        <v>0</v>
      </c>
      <c r="AK89" s="136">
        <f t="shared" si="27"/>
        <v>0</v>
      </c>
      <c r="AL89" s="136">
        <f t="shared" si="27"/>
        <v>0</v>
      </c>
      <c r="AM89" s="136">
        <f t="shared" si="27"/>
        <v>0</v>
      </c>
      <c r="AN89" s="136">
        <f t="shared" si="27"/>
        <v>0</v>
      </c>
      <c r="AO89" s="136">
        <f t="shared" si="27"/>
        <v>0</v>
      </c>
      <c r="AP89" s="136">
        <f t="shared" si="27"/>
        <v>0</v>
      </c>
      <c r="AQ89" s="136">
        <f t="shared" si="27"/>
        <v>0</v>
      </c>
      <c r="AR89" s="136">
        <f t="shared" si="14"/>
        <v>0</v>
      </c>
      <c r="AS89" s="136">
        <f t="shared" ref="AS89:AZ89" si="28">subtotal(9,AS85:AS88)</f>
        <v>0</v>
      </c>
      <c r="AT89" s="136">
        <f t="shared" si="28"/>
        <v>63</v>
      </c>
      <c r="AU89" s="136">
        <f t="shared" si="28"/>
        <v>0</v>
      </c>
      <c r="AV89" s="136">
        <f t="shared" si="28"/>
        <v>0</v>
      </c>
      <c r="AW89" s="136">
        <f t="shared" si="28"/>
        <v>0</v>
      </c>
      <c r="AX89" s="136">
        <f t="shared" si="28"/>
        <v>12</v>
      </c>
      <c r="AY89" s="136">
        <f t="shared" si="28"/>
        <v>0</v>
      </c>
      <c r="AZ89" s="136">
        <f t="shared" si="28"/>
        <v>0</v>
      </c>
      <c r="BA89" s="136">
        <f t="shared" si="16"/>
        <v>75</v>
      </c>
      <c r="BB89" s="139"/>
      <c r="BC89" s="139">
        <f t="shared" ref="BC89:BJ89" si="29">AS89/$BA89</f>
        <v>0</v>
      </c>
      <c r="BD89" s="139">
        <f t="shared" si="29"/>
        <v>0.84</v>
      </c>
      <c r="BE89" s="139">
        <f t="shared" si="29"/>
        <v>0</v>
      </c>
      <c r="BF89" s="139">
        <f t="shared" si="29"/>
        <v>0</v>
      </c>
      <c r="BG89" s="139">
        <f t="shared" si="29"/>
        <v>0</v>
      </c>
      <c r="BH89" s="139">
        <f t="shared" si="29"/>
        <v>0.16</v>
      </c>
      <c r="BI89" s="139">
        <f t="shared" si="29"/>
        <v>0</v>
      </c>
      <c r="BJ89" s="139">
        <f t="shared" si="29"/>
        <v>0</v>
      </c>
      <c r="BK89" s="139">
        <f t="shared" si="19"/>
        <v>1</v>
      </c>
    </row>
    <row r="90" outlineLevel="1">
      <c r="A90" s="140" t="s">
        <v>92</v>
      </c>
      <c r="B90" s="140"/>
      <c r="C90" s="141"/>
      <c r="D90" s="142">
        <f t="shared" ref="D90:K90" si="30">iferror(average(D85:D88)*$B$78, 0)</f>
        <v>1</v>
      </c>
      <c r="E90" s="142">
        <f t="shared" si="30"/>
        <v>0.75</v>
      </c>
      <c r="F90" s="142">
        <f t="shared" si="30"/>
        <v>0</v>
      </c>
      <c r="G90" s="142">
        <f t="shared" si="30"/>
        <v>0</v>
      </c>
      <c r="H90" s="142">
        <f t="shared" si="30"/>
        <v>1</v>
      </c>
      <c r="I90" s="142">
        <f t="shared" si="30"/>
        <v>0.75</v>
      </c>
      <c r="J90" s="142">
        <f t="shared" si="30"/>
        <v>0</v>
      </c>
      <c r="K90" s="142">
        <f t="shared" si="30"/>
        <v>0</v>
      </c>
      <c r="L90" s="145"/>
      <c r="M90" s="145"/>
      <c r="N90" s="145"/>
      <c r="O90" s="145"/>
      <c r="P90" s="145"/>
      <c r="Q90" s="145"/>
      <c r="R90" s="146"/>
      <c r="S90" s="146"/>
      <c r="T90" s="146"/>
      <c r="U90" s="146"/>
      <c r="V90" s="146"/>
      <c r="W90" s="146"/>
      <c r="X90" s="146"/>
      <c r="Y90" s="146"/>
      <c r="Z90" s="146"/>
      <c r="AA90" s="146"/>
      <c r="AB90" s="146"/>
      <c r="AC90" s="146"/>
      <c r="AD90" s="146"/>
      <c r="AE90" s="146"/>
      <c r="AF90" s="146"/>
      <c r="AG90" s="146"/>
      <c r="AH90" s="146"/>
      <c r="AI90" s="146"/>
      <c r="AJ90" s="146"/>
      <c r="AK90" s="146"/>
      <c r="AL90" s="146"/>
      <c r="AM90" s="146"/>
      <c r="AN90" s="146"/>
      <c r="AO90" s="146"/>
      <c r="AP90" s="146"/>
      <c r="AQ90" s="146"/>
      <c r="AR90" s="146"/>
      <c r="AS90" s="146"/>
      <c r="AT90" s="146"/>
      <c r="AU90" s="146"/>
      <c r="AV90" s="146"/>
      <c r="AW90" s="146"/>
      <c r="AX90" s="146"/>
      <c r="AY90" s="146"/>
      <c r="AZ90" s="146"/>
      <c r="BA90" s="146"/>
      <c r="BB90" s="146"/>
      <c r="BC90" s="146"/>
      <c r="BD90" s="146"/>
      <c r="BE90" s="146"/>
      <c r="BF90" s="146"/>
      <c r="BG90" s="146"/>
      <c r="BH90" s="146"/>
      <c r="BI90" s="146"/>
      <c r="BJ90" s="146"/>
      <c r="BK90" s="146"/>
    </row>
    <row r="91" outlineLevel="1">
      <c r="A91" s="79"/>
      <c r="B91" s="29"/>
      <c r="C91" s="29"/>
      <c r="D91" s="3"/>
      <c r="E91" s="3"/>
      <c r="F91" s="29"/>
      <c r="G91" s="29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F91" s="29"/>
      <c r="BG91" s="29"/>
      <c r="BH91" s="29"/>
      <c r="BI91" s="29"/>
      <c r="BJ91" s="29"/>
      <c r="BK91" s="29"/>
    </row>
    <row r="92">
      <c r="A92" s="84" t="s">
        <v>93</v>
      </c>
      <c r="B92" s="85"/>
      <c r="C92" s="85"/>
      <c r="D92" s="85"/>
      <c r="E92" s="85"/>
      <c r="F92" s="85"/>
      <c r="G92" s="86"/>
      <c r="H92" s="86"/>
      <c r="I92" s="86"/>
      <c r="J92" s="86"/>
      <c r="K92" s="86"/>
      <c r="L92" s="86"/>
      <c r="M92" s="86"/>
      <c r="N92" s="86"/>
      <c r="O92" s="86"/>
      <c r="P92" s="85"/>
      <c r="Q92" s="85"/>
      <c r="R92" s="147"/>
      <c r="S92" s="85"/>
      <c r="T92" s="85"/>
      <c r="U92" s="85"/>
      <c r="V92" s="85"/>
      <c r="W92" s="85"/>
      <c r="X92" s="85"/>
      <c r="Y92" s="85"/>
      <c r="Z92" s="85"/>
      <c r="AA92" s="85"/>
      <c r="AB92" s="85"/>
      <c r="AC92" s="85"/>
      <c r="AD92" s="85"/>
      <c r="AE92" s="85"/>
      <c r="AF92" s="85"/>
      <c r="AG92" s="85"/>
      <c r="AH92" s="85"/>
      <c r="AI92" s="85"/>
      <c r="AJ92" s="85"/>
      <c r="AK92" s="85"/>
      <c r="AL92" s="85"/>
      <c r="AM92" s="85"/>
      <c r="AN92" s="85"/>
      <c r="AO92" s="85"/>
      <c r="AP92" s="85"/>
      <c r="AQ92" s="85"/>
      <c r="AR92" s="85"/>
      <c r="AS92" s="85"/>
      <c r="AT92" s="85"/>
      <c r="AU92" s="85"/>
      <c r="AV92" s="85"/>
      <c r="AW92" s="85"/>
      <c r="AX92" s="85"/>
      <c r="AY92" s="85"/>
      <c r="AZ92" s="85"/>
      <c r="BA92" s="85"/>
      <c r="BB92" s="85"/>
      <c r="BC92" s="85"/>
      <c r="BD92" s="85"/>
      <c r="BE92" s="85"/>
      <c r="BF92" s="85"/>
      <c r="BG92" s="85"/>
      <c r="BH92" s="85"/>
      <c r="BI92" s="85"/>
      <c r="BJ92" s="85"/>
      <c r="BK92" s="85"/>
    </row>
    <row r="93">
      <c r="A93" s="79"/>
      <c r="B93" s="29"/>
      <c r="C93" s="29"/>
      <c r="D93" s="29"/>
      <c r="E93" s="29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F93" s="29"/>
      <c r="BG93" s="29"/>
      <c r="BH93" s="29"/>
      <c r="BI93" s="29"/>
      <c r="BJ93" s="29"/>
      <c r="BK93" s="29"/>
    </row>
    <row r="94">
      <c r="A94" s="79"/>
      <c r="B94" s="29"/>
      <c r="C94" s="29"/>
      <c r="D94" s="29"/>
      <c r="E94" s="29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F94" s="29"/>
      <c r="BG94" s="29"/>
      <c r="BH94" s="29"/>
      <c r="BI94" s="29"/>
      <c r="BJ94" s="29"/>
      <c r="BK94" s="29"/>
    </row>
    <row r="95">
      <c r="A95" s="79"/>
      <c r="B95" s="29"/>
      <c r="C95" s="29"/>
      <c r="D95" s="29"/>
      <c r="E95" s="29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F95" s="29"/>
      <c r="BG95" s="29"/>
      <c r="BH95" s="29"/>
      <c r="BI95" s="29"/>
      <c r="BJ95" s="29"/>
      <c r="BK95" s="29"/>
    </row>
    <row r="96">
      <c r="A96" s="79"/>
      <c r="B96" s="29"/>
      <c r="C96" s="29"/>
      <c r="D96" s="29"/>
      <c r="E96" s="29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F96" s="29"/>
      <c r="BG96" s="29"/>
      <c r="BH96" s="29"/>
      <c r="BI96" s="29"/>
      <c r="BJ96" s="29"/>
      <c r="BK96" s="29"/>
    </row>
    <row r="97">
      <c r="A97" s="79"/>
      <c r="B97" s="29"/>
      <c r="C97" s="29"/>
      <c r="D97" s="29"/>
      <c r="E97" s="29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  <c r="AB97" s="29"/>
      <c r="AC97" s="29"/>
      <c r="AD97" s="29"/>
      <c r="AE97" s="29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  <c r="AU97" s="29"/>
      <c r="AV97" s="29"/>
      <c r="AW97" s="29"/>
      <c r="AX97" s="29"/>
      <c r="AY97" s="29"/>
      <c r="AZ97" s="29"/>
      <c r="BA97" s="29"/>
      <c r="BB97" s="29"/>
      <c r="BC97" s="29"/>
      <c r="BD97" s="29"/>
      <c r="BE97" s="29"/>
      <c r="BF97" s="29"/>
      <c r="BG97" s="29"/>
      <c r="BH97" s="29"/>
      <c r="BI97" s="29"/>
      <c r="BJ97" s="29"/>
      <c r="BK97" s="29"/>
    </row>
    <row r="98">
      <c r="A98" s="79"/>
      <c r="B98" s="29"/>
      <c r="C98" s="29"/>
      <c r="D98" s="29"/>
      <c r="E98" s="29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F98" s="29"/>
      <c r="BG98" s="29"/>
      <c r="BH98" s="29"/>
      <c r="BI98" s="29"/>
      <c r="BJ98" s="29"/>
      <c r="BK98" s="29"/>
    </row>
    <row r="99">
      <c r="A99" s="79"/>
      <c r="B99" s="29"/>
      <c r="C99" s="29"/>
      <c r="D99" s="29"/>
      <c r="E99" s="29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F99" s="29"/>
      <c r="BG99" s="29"/>
      <c r="BH99" s="29"/>
      <c r="BI99" s="29"/>
      <c r="BJ99" s="29"/>
      <c r="BK99" s="29"/>
    </row>
    <row r="100">
      <c r="A100" s="79"/>
      <c r="B100" s="29"/>
      <c r="C100" s="29"/>
      <c r="D100" s="29"/>
      <c r="E100" s="29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F100" s="29"/>
      <c r="BG100" s="29"/>
      <c r="BH100" s="29"/>
      <c r="BI100" s="29"/>
      <c r="BJ100" s="29"/>
      <c r="BK100" s="29"/>
    </row>
    <row r="101">
      <c r="A101" s="79"/>
      <c r="B101" s="29"/>
      <c r="C101" s="29"/>
      <c r="D101" s="29"/>
      <c r="E101" s="29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F101" s="29"/>
      <c r="BG101" s="29"/>
      <c r="BH101" s="29"/>
      <c r="BI101" s="29"/>
      <c r="BJ101" s="29"/>
      <c r="BK101" s="29"/>
    </row>
    <row r="102">
      <c r="A102" s="79"/>
      <c r="B102" s="29"/>
      <c r="C102" s="29"/>
      <c r="D102" s="29"/>
      <c r="E102" s="29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F102" s="29"/>
      <c r="BG102" s="29"/>
      <c r="BH102" s="29"/>
      <c r="BI102" s="29"/>
      <c r="BJ102" s="29"/>
      <c r="BK102" s="29"/>
    </row>
    <row r="103">
      <c r="A103" s="79"/>
      <c r="B103" s="29"/>
      <c r="C103" s="29"/>
      <c r="D103" s="29"/>
      <c r="E103" s="29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F103" s="29"/>
      <c r="BG103" s="29"/>
      <c r="BH103" s="29"/>
      <c r="BI103" s="29"/>
      <c r="BJ103" s="29"/>
      <c r="BK103" s="29"/>
    </row>
    <row r="104">
      <c r="A104" s="79"/>
      <c r="B104" s="29"/>
      <c r="C104" s="29"/>
      <c r="D104" s="29"/>
      <c r="E104" s="29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F104" s="29"/>
      <c r="BG104" s="29"/>
      <c r="BH104" s="29"/>
      <c r="BI104" s="29"/>
      <c r="BJ104" s="29"/>
      <c r="BK104" s="29"/>
    </row>
    <row r="105">
      <c r="A105" s="79"/>
      <c r="B105" s="29"/>
      <c r="C105" s="29"/>
      <c r="D105" s="29"/>
      <c r="E105" s="29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F105" s="29"/>
      <c r="BG105" s="29"/>
      <c r="BH105" s="29"/>
      <c r="BI105" s="29"/>
      <c r="BJ105" s="29"/>
      <c r="BK105" s="29"/>
    </row>
    <row r="106">
      <c r="A106" s="79"/>
      <c r="B106" s="29"/>
      <c r="C106" s="29"/>
      <c r="D106" s="29"/>
      <c r="E106" s="29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F106" s="29"/>
      <c r="BG106" s="29"/>
      <c r="BH106" s="29"/>
      <c r="BI106" s="29"/>
      <c r="BJ106" s="29"/>
      <c r="BK106" s="29"/>
    </row>
    <row r="107">
      <c r="A107" s="79"/>
      <c r="B107" s="29"/>
      <c r="C107" s="29"/>
      <c r="D107" s="29"/>
      <c r="E107" s="29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F107" s="29"/>
      <c r="BG107" s="29"/>
      <c r="BH107" s="29"/>
      <c r="BI107" s="29"/>
      <c r="BJ107" s="29"/>
      <c r="BK107" s="29"/>
    </row>
    <row r="108">
      <c r="A108" s="79"/>
      <c r="B108" s="29"/>
      <c r="C108" s="29"/>
      <c r="D108" s="29"/>
      <c r="E108" s="29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F108" s="29"/>
      <c r="BG108" s="29"/>
      <c r="BH108" s="29"/>
      <c r="BI108" s="29"/>
      <c r="BJ108" s="29"/>
      <c r="BK108" s="29"/>
    </row>
    <row r="109">
      <c r="A109" s="79"/>
      <c r="B109" s="29"/>
      <c r="C109" s="29"/>
      <c r="D109" s="29"/>
      <c r="E109" s="29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"/>
      <c r="Q109" s="3"/>
      <c r="R109" s="3"/>
      <c r="S109" s="3"/>
      <c r="T109" s="3"/>
      <c r="U109" s="3"/>
      <c r="V109" s="3"/>
      <c r="W109" s="3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F109" s="29"/>
      <c r="BG109" s="29"/>
      <c r="BH109" s="29"/>
      <c r="BI109" s="29"/>
      <c r="BJ109" s="29"/>
      <c r="BK109" s="29"/>
    </row>
    <row r="110">
      <c r="A110" s="58"/>
      <c r="B110" s="58"/>
      <c r="C110" s="58"/>
      <c r="D110" s="58"/>
      <c r="E110" s="58"/>
      <c r="F110" s="58"/>
      <c r="G110" s="58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148" t="s">
        <v>94</v>
      </c>
      <c r="S110" s="149" t="s">
        <v>95</v>
      </c>
      <c r="T110" s="150" t="s">
        <v>85</v>
      </c>
      <c r="U110" s="151" t="s">
        <v>86</v>
      </c>
      <c r="V110" s="152" t="s">
        <v>96</v>
      </c>
      <c r="W110" s="153"/>
      <c r="X110" s="153"/>
      <c r="Y110" s="154"/>
      <c r="Z110" s="155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>
      <c r="A111" s="156" t="s">
        <v>97</v>
      </c>
      <c r="B111" s="157" t="s">
        <v>98</v>
      </c>
      <c r="C111" s="158" t="s">
        <v>64</v>
      </c>
      <c r="D111" s="158" t="s">
        <v>99</v>
      </c>
      <c r="E111" s="159" t="s">
        <v>100</v>
      </c>
      <c r="F111" s="160" t="s">
        <v>101</v>
      </c>
      <c r="G111" s="161" t="s">
        <v>85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162" t="s">
        <v>102</v>
      </c>
      <c r="S111" s="163" t="s">
        <v>103</v>
      </c>
      <c r="T111" s="164">
        <f>countifs(Redmine!V:V, S111)</f>
        <v>0</v>
      </c>
      <c r="U111" s="165">
        <f t="shared" ref="U111:U124" si="31">iferror(T111/$T$125, 0)</f>
        <v>0</v>
      </c>
      <c r="V111" s="166" t="s">
        <v>104</v>
      </c>
      <c r="W111" s="167"/>
      <c r="X111" s="167"/>
      <c r="Y111" s="167"/>
      <c r="Z111" s="168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</row>
    <row r="112">
      <c r="A112" s="169" t="s">
        <v>105</v>
      </c>
      <c r="B112" s="170">
        <f>COUNTIFS(Redmine!$E:$E, $A112, Redmine!$D:$D, B$111)</f>
        <v>0</v>
      </c>
      <c r="C112" s="170">
        <f>COUNTIFS(Redmine!$E:$E, $A112, Redmine!$D:$D, C$111)</f>
        <v>0</v>
      </c>
      <c r="D112" s="170">
        <f>COUNTIFS(Redmine!$E:$E, $A112, Redmine!$D:$D, D$111)</f>
        <v>0</v>
      </c>
      <c r="E112" s="170">
        <f>COUNTIFS(Redmine!$E:$E, $A112, Redmine!$D:$D, E$111)</f>
        <v>0</v>
      </c>
      <c r="F112" s="170">
        <f>COUNTIFS(Redmine!$E:$E, $A112, Redmine!$D:$D, F$111)</f>
        <v>0</v>
      </c>
      <c r="G112" s="171">
        <f t="shared" ref="G112:G117" si="32">SUM(B112:F112)</f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172"/>
      <c r="S112" s="163" t="s">
        <v>106</v>
      </c>
      <c r="T112" s="164">
        <f>countifs(Redmine!V:V, S112)</f>
        <v>0</v>
      </c>
      <c r="U112" s="165">
        <f t="shared" si="31"/>
        <v>0</v>
      </c>
      <c r="V112" s="166" t="s">
        <v>107</v>
      </c>
      <c r="W112" s="167"/>
      <c r="X112" s="167"/>
      <c r="Y112" s="167"/>
      <c r="Z112" s="168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</row>
    <row r="113">
      <c r="A113" s="169" t="s">
        <v>108</v>
      </c>
      <c r="B113" s="170">
        <f>COUNTIFS(Redmine!$E:$E, $A113, Redmine!$D:$D, B$111)</f>
        <v>0</v>
      </c>
      <c r="C113" s="170">
        <f>COUNTIFS(Redmine!$E:$E, $A113, Redmine!$D:$D, C$111)</f>
        <v>0</v>
      </c>
      <c r="D113" s="170">
        <f>COUNTIFS(Redmine!$E:$E, $A113, Redmine!$D:$D, D$111)</f>
        <v>0</v>
      </c>
      <c r="E113" s="170">
        <f>COUNTIFS(Redmine!$E:$E, $A113, Redmine!$D:$D, E$111)</f>
        <v>0</v>
      </c>
      <c r="F113" s="170">
        <f>COUNTIFS(Redmine!$E:$E, $A113, Redmine!$D:$D, F$111)</f>
        <v>0</v>
      </c>
      <c r="G113" s="171">
        <f t="shared" si="32"/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173" t="s">
        <v>109</v>
      </c>
      <c r="S113" s="163" t="s">
        <v>110</v>
      </c>
      <c r="T113" s="164">
        <f>countifs(Redmine!V:V, S113)</f>
        <v>0</v>
      </c>
      <c r="U113" s="165">
        <f t="shared" si="31"/>
        <v>0</v>
      </c>
      <c r="V113" s="166" t="s">
        <v>111</v>
      </c>
      <c r="W113" s="167"/>
      <c r="X113" s="167"/>
      <c r="Y113" s="167"/>
      <c r="Z113" s="168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>
      <c r="A114" s="169" t="s">
        <v>83</v>
      </c>
      <c r="B114" s="170">
        <f>COUNTIFS(Redmine!$E:$E, $A114, Redmine!$D:$D, B$111)</f>
        <v>0</v>
      </c>
      <c r="C114" s="170">
        <f>COUNTIFS(Redmine!$E:$E, $A114, Redmine!$D:$D, C$111)</f>
        <v>0</v>
      </c>
      <c r="D114" s="170">
        <f>COUNTIFS(Redmine!$E:$E, $A114, Redmine!$D:$D, D$111)</f>
        <v>0</v>
      </c>
      <c r="E114" s="170">
        <f>COUNTIFS(Redmine!$E:$E, $A114, Redmine!$D:$D, E$111)</f>
        <v>0</v>
      </c>
      <c r="F114" s="170">
        <f>COUNTIFS(Redmine!$E:$E, $A114, Redmine!$D:$D, F$111)</f>
        <v>0</v>
      </c>
      <c r="G114" s="171">
        <f t="shared" si="32"/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174" t="s">
        <v>112</v>
      </c>
      <c r="S114" s="175" t="s">
        <v>113</v>
      </c>
      <c r="T114" s="164">
        <f>countifs(Redmine!V:V, S114)</f>
        <v>0</v>
      </c>
      <c r="U114" s="165">
        <f t="shared" si="31"/>
        <v>0</v>
      </c>
      <c r="V114" s="166" t="s">
        <v>114</v>
      </c>
      <c r="W114" s="167"/>
      <c r="X114" s="167"/>
      <c r="Y114" s="167"/>
      <c r="Z114" s="168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</row>
    <row r="115">
      <c r="A115" s="169" t="s">
        <v>115</v>
      </c>
      <c r="B115" s="170">
        <f>COUNTIFS(Redmine!$E:$E, $A115, Redmine!$D:$D, B$111)</f>
        <v>0</v>
      </c>
      <c r="C115" s="170">
        <f>COUNTIFS(Redmine!$E:$E, $A115, Redmine!$D:$D, C$111)</f>
        <v>0</v>
      </c>
      <c r="D115" s="170">
        <f>COUNTIFS(Redmine!$E:$E, $A115, Redmine!$D:$D, D$111)</f>
        <v>0</v>
      </c>
      <c r="E115" s="170">
        <f>COUNTIFS(Redmine!$E:$E, $A115, Redmine!$D:$D, E$111)</f>
        <v>0</v>
      </c>
      <c r="F115" s="170">
        <f>COUNTIFS(Redmine!$E:$E, $A115, Redmine!$D:$D, F$111)</f>
        <v>0</v>
      </c>
      <c r="G115" s="171">
        <f t="shared" si="32"/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176"/>
      <c r="S115" s="163" t="s">
        <v>116</v>
      </c>
      <c r="T115" s="164">
        <f>countifs(Redmine!V:V, S115)</f>
        <v>0</v>
      </c>
      <c r="U115" s="165">
        <f t="shared" si="31"/>
        <v>0</v>
      </c>
      <c r="V115" s="177" t="s">
        <v>117</v>
      </c>
      <c r="W115" s="178"/>
      <c r="X115" s="178"/>
      <c r="Y115" s="178"/>
      <c r="Z115" s="179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>
      <c r="A116" s="169" t="s">
        <v>84</v>
      </c>
      <c r="B116" s="170">
        <f>COUNTIFS(Redmine!$E:$E, $A116, Redmine!$D:$D, B$111)</f>
        <v>0</v>
      </c>
      <c r="C116" s="170">
        <f>COUNTIFS(Redmine!$E:$E, $A116, Redmine!$D:$D, C$111)</f>
        <v>0</v>
      </c>
      <c r="D116" s="170">
        <f>COUNTIFS(Redmine!$E:$E, $A116, Redmine!$D:$D, D$111)</f>
        <v>0</v>
      </c>
      <c r="E116" s="170">
        <f>COUNTIFS(Redmine!$E:$E, $A116, Redmine!$D:$D, E$111)</f>
        <v>0</v>
      </c>
      <c r="F116" s="170">
        <f>COUNTIFS(Redmine!$E:$E, $A116, Redmine!$D:$D, F$111)</f>
        <v>0</v>
      </c>
      <c r="G116" s="171">
        <f t="shared" si="32"/>
        <v>0</v>
      </c>
      <c r="H116" s="3"/>
      <c r="I116" s="31"/>
      <c r="J116" s="3"/>
      <c r="K116" s="3"/>
      <c r="L116" s="3"/>
      <c r="M116" s="3"/>
      <c r="N116" s="3"/>
      <c r="O116" s="3"/>
      <c r="P116" s="3"/>
      <c r="Q116" s="3"/>
      <c r="R116" s="176"/>
      <c r="S116" s="163" t="s">
        <v>118</v>
      </c>
      <c r="T116" s="164">
        <f>countifs(Redmine!V:V, S116)</f>
        <v>0</v>
      </c>
      <c r="U116" s="180">
        <f t="shared" si="31"/>
        <v>0</v>
      </c>
      <c r="V116" s="166" t="s">
        <v>119</v>
      </c>
      <c r="W116" s="181"/>
      <c r="X116" s="181"/>
      <c r="Y116" s="181"/>
      <c r="Z116" s="182"/>
      <c r="AA116" s="3"/>
      <c r="AB116" s="3"/>
      <c r="AC116" s="29"/>
      <c r="AD116" s="29"/>
      <c r="AE116" s="29"/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  <c r="AU116" s="29"/>
      <c r="AV116" s="29"/>
      <c r="AW116" s="29"/>
      <c r="AX116" s="29"/>
      <c r="AY116" s="29"/>
      <c r="AZ116" s="29"/>
      <c r="BA116" s="29"/>
      <c r="BB116" s="29"/>
      <c r="BC116" s="29"/>
      <c r="BD116" s="29"/>
      <c r="BE116" s="29"/>
      <c r="BF116" s="29"/>
      <c r="BG116" s="29"/>
      <c r="BH116" s="29"/>
      <c r="BI116" s="29"/>
      <c r="BJ116" s="29"/>
      <c r="BK116" s="29"/>
    </row>
    <row r="117">
      <c r="A117" s="183" t="s">
        <v>85</v>
      </c>
      <c r="B117" s="171">
        <f t="shared" ref="B117:F117" si="33">SUBTOTAL(9, B112:B116)</f>
        <v>0</v>
      </c>
      <c r="C117" s="171">
        <f t="shared" si="33"/>
        <v>0</v>
      </c>
      <c r="D117" s="171">
        <f t="shared" si="33"/>
        <v>0</v>
      </c>
      <c r="E117" s="171">
        <f t="shared" si="33"/>
        <v>0</v>
      </c>
      <c r="F117" s="171">
        <f t="shared" si="33"/>
        <v>0</v>
      </c>
      <c r="G117" s="171">
        <f t="shared" si="32"/>
        <v>0</v>
      </c>
      <c r="H117" s="3"/>
      <c r="I117" s="11"/>
      <c r="J117" s="3"/>
      <c r="K117" s="3"/>
      <c r="L117" s="3"/>
      <c r="M117" s="3"/>
      <c r="N117" s="3"/>
      <c r="O117" s="3"/>
      <c r="P117" s="3"/>
      <c r="Q117" s="3"/>
      <c r="R117" s="176"/>
      <c r="S117" s="163" t="s">
        <v>120</v>
      </c>
      <c r="T117" s="164">
        <f>countifs(Redmine!V:V, S117)</f>
        <v>0</v>
      </c>
      <c r="U117" s="180">
        <f t="shared" si="31"/>
        <v>0</v>
      </c>
      <c r="V117" s="184" t="s">
        <v>121</v>
      </c>
      <c r="W117" s="185"/>
      <c r="X117" s="185"/>
      <c r="Y117" s="185"/>
      <c r="Z117" s="186"/>
      <c r="AA117" s="3"/>
      <c r="AB117" s="3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  <c r="BC117" s="11"/>
      <c r="BD117" s="11"/>
      <c r="BE117" s="11"/>
      <c r="BF117" s="11"/>
      <c r="BG117" s="11"/>
      <c r="BH117" s="11"/>
      <c r="BI117" s="11"/>
      <c r="BJ117" s="11"/>
      <c r="BK117" s="11"/>
    </row>
    <row r="118">
      <c r="A118" s="3"/>
      <c r="B118" s="3"/>
      <c r="C118" s="3"/>
      <c r="D118" s="3"/>
      <c r="E118" s="3"/>
      <c r="F118" s="3"/>
      <c r="G118" s="3"/>
      <c r="H118" s="3"/>
      <c r="I118" s="11"/>
      <c r="J118" s="3"/>
      <c r="K118" s="3"/>
      <c r="L118" s="3"/>
      <c r="M118" s="3"/>
      <c r="N118" s="3"/>
      <c r="O118" s="3"/>
      <c r="P118" s="3"/>
      <c r="Q118" s="3"/>
      <c r="R118" s="172"/>
      <c r="S118" s="187" t="s">
        <v>122</v>
      </c>
      <c r="T118" s="164">
        <f>countifs(Redmine!V:V, S118)</f>
        <v>0</v>
      </c>
      <c r="U118" s="165">
        <f t="shared" si="31"/>
        <v>0</v>
      </c>
      <c r="V118" s="166" t="s">
        <v>123</v>
      </c>
      <c r="W118" s="167"/>
      <c r="X118" s="167"/>
      <c r="Y118" s="167"/>
      <c r="Z118" s="168"/>
      <c r="AA118" s="3"/>
      <c r="AB118" s="3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  <c r="BC118" s="11"/>
      <c r="BD118" s="11"/>
      <c r="BE118" s="11"/>
      <c r="BF118" s="11"/>
      <c r="BG118" s="11"/>
      <c r="BH118" s="11"/>
      <c r="BI118" s="11"/>
      <c r="BJ118" s="11"/>
      <c r="BK118" s="11"/>
    </row>
    <row r="119">
      <c r="A119" s="3"/>
      <c r="B119" s="3"/>
      <c r="C119" s="3"/>
      <c r="D119" s="3"/>
      <c r="E119" s="3"/>
      <c r="F119" s="3"/>
      <c r="G119" s="3"/>
      <c r="H119" s="3"/>
      <c r="I119" s="11"/>
      <c r="J119" s="3"/>
      <c r="K119" s="3"/>
      <c r="L119" s="3"/>
      <c r="M119" s="3"/>
      <c r="N119" s="3"/>
      <c r="O119" s="3"/>
      <c r="P119" s="3"/>
      <c r="R119" s="174" t="s">
        <v>124</v>
      </c>
      <c r="S119" s="163" t="s">
        <v>125</v>
      </c>
      <c r="T119" s="164">
        <f>countifs(Redmine!V:V, S119)</f>
        <v>0</v>
      </c>
      <c r="U119" s="165">
        <f t="shared" si="31"/>
        <v>0</v>
      </c>
      <c r="V119" s="166" t="s">
        <v>126</v>
      </c>
      <c r="W119" s="167"/>
      <c r="X119" s="167"/>
      <c r="Y119" s="167"/>
      <c r="Z119" s="168"/>
      <c r="AA119" s="3"/>
      <c r="AB119" s="3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  <c r="BC119" s="11"/>
      <c r="BD119" s="11"/>
      <c r="BE119" s="11"/>
      <c r="BF119" s="11"/>
      <c r="BG119" s="11"/>
      <c r="BH119" s="11"/>
      <c r="BI119" s="11"/>
      <c r="BJ119" s="11"/>
      <c r="BK119" s="11"/>
    </row>
    <row r="120">
      <c r="A120" s="3"/>
      <c r="B120" s="3"/>
      <c r="C120" s="3"/>
      <c r="D120" s="3"/>
      <c r="E120" s="3"/>
      <c r="F120" s="3"/>
      <c r="G120" s="3"/>
      <c r="H120" s="3"/>
      <c r="I120" s="11"/>
      <c r="J120" s="3"/>
      <c r="K120" s="3"/>
      <c r="L120" s="3"/>
      <c r="M120" s="3"/>
      <c r="N120" s="3"/>
      <c r="O120" s="3"/>
      <c r="P120" s="3"/>
      <c r="R120" s="176"/>
      <c r="S120" s="163" t="s">
        <v>127</v>
      </c>
      <c r="T120" s="164">
        <f>countifs(Redmine!V:V, S120)</f>
        <v>0</v>
      </c>
      <c r="U120" s="165">
        <f t="shared" si="31"/>
        <v>0</v>
      </c>
      <c r="V120" s="166" t="s">
        <v>128</v>
      </c>
      <c r="W120" s="167"/>
      <c r="X120" s="167"/>
      <c r="Y120" s="167"/>
      <c r="Z120" s="168"/>
      <c r="AA120" s="3"/>
      <c r="AB120" s="3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  <c r="BC120" s="11"/>
      <c r="BD120" s="11"/>
      <c r="BE120" s="11"/>
      <c r="BF120" s="11"/>
      <c r="BG120" s="11"/>
      <c r="BH120" s="11"/>
      <c r="BI120" s="11"/>
      <c r="BJ120" s="11"/>
      <c r="BK120" s="11"/>
    </row>
    <row r="121">
      <c r="A121" s="3"/>
      <c r="B121" s="3"/>
      <c r="C121" s="3"/>
      <c r="D121" s="3"/>
      <c r="E121" s="3"/>
      <c r="F121" s="3"/>
      <c r="G121" s="3"/>
      <c r="H121" s="3"/>
      <c r="I121" s="11"/>
      <c r="J121" s="3"/>
      <c r="K121" s="3"/>
      <c r="L121" s="3"/>
      <c r="M121" s="3"/>
      <c r="N121" s="3"/>
      <c r="O121" s="3"/>
      <c r="P121" s="3"/>
      <c r="R121" s="172"/>
      <c r="S121" s="163" t="s">
        <v>129</v>
      </c>
      <c r="T121" s="164">
        <f>countifs(Redmine!V:V, S121)</f>
        <v>0</v>
      </c>
      <c r="U121" s="165">
        <f t="shared" si="31"/>
        <v>0</v>
      </c>
      <c r="V121" s="166" t="s">
        <v>130</v>
      </c>
      <c r="W121" s="167"/>
      <c r="X121" s="167"/>
      <c r="Y121" s="167"/>
      <c r="Z121" s="168"/>
      <c r="AA121" s="3"/>
      <c r="AB121" s="3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  <c r="BC121" s="11"/>
      <c r="BD121" s="11"/>
      <c r="BE121" s="11"/>
      <c r="BF121" s="11"/>
      <c r="BG121" s="11"/>
      <c r="BH121" s="11"/>
      <c r="BI121" s="11"/>
      <c r="BJ121" s="11"/>
      <c r="BK121" s="11"/>
    </row>
    <row r="122">
      <c r="A122" s="3"/>
      <c r="B122" s="3"/>
      <c r="C122" s="3"/>
      <c r="D122" s="3"/>
      <c r="E122" s="3"/>
      <c r="F122" s="3"/>
      <c r="G122" s="3"/>
      <c r="H122" s="3"/>
      <c r="I122" s="11"/>
      <c r="J122" s="3"/>
      <c r="K122" s="3"/>
      <c r="L122" s="3"/>
      <c r="M122" s="3"/>
      <c r="N122" s="3"/>
      <c r="O122" s="3"/>
      <c r="P122" s="3"/>
      <c r="R122" s="174" t="s">
        <v>131</v>
      </c>
      <c r="S122" s="187" t="s">
        <v>131</v>
      </c>
      <c r="T122" s="164">
        <f>countifs(Redmine!V:V, S122)</f>
        <v>0</v>
      </c>
      <c r="U122" s="165">
        <f t="shared" si="31"/>
        <v>0</v>
      </c>
      <c r="V122" s="166" t="s">
        <v>132</v>
      </c>
      <c r="W122" s="167"/>
      <c r="X122" s="167"/>
      <c r="Y122" s="167"/>
      <c r="Z122" s="179"/>
      <c r="AA122" s="3"/>
      <c r="AB122" s="3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  <c r="BC122" s="11"/>
      <c r="BD122" s="11"/>
      <c r="BE122" s="11"/>
      <c r="BF122" s="11"/>
      <c r="BG122" s="11"/>
      <c r="BH122" s="11"/>
      <c r="BI122" s="11"/>
      <c r="BJ122" s="11"/>
      <c r="BK122" s="11"/>
    </row>
    <row r="123">
      <c r="A123" s="3"/>
      <c r="B123" s="3"/>
      <c r="C123" s="3"/>
      <c r="D123" s="3"/>
      <c r="E123" s="3"/>
      <c r="F123" s="3"/>
      <c r="G123" s="3"/>
      <c r="H123" s="3"/>
      <c r="I123" s="11"/>
      <c r="J123" s="3"/>
      <c r="K123" s="3"/>
      <c r="L123" s="3"/>
      <c r="M123" s="3"/>
      <c r="N123" s="3"/>
      <c r="O123" s="3"/>
      <c r="P123" s="3"/>
      <c r="R123" s="172"/>
      <c r="S123" s="163" t="s">
        <v>133</v>
      </c>
      <c r="T123" s="164">
        <f>countifs(Redmine!V:V, S123)</f>
        <v>0</v>
      </c>
      <c r="U123" s="165">
        <f t="shared" si="31"/>
        <v>0</v>
      </c>
      <c r="V123" s="177" t="s">
        <v>134</v>
      </c>
      <c r="W123" s="178"/>
      <c r="X123" s="178"/>
      <c r="Y123" s="178"/>
      <c r="Z123" s="179"/>
      <c r="AA123" s="3"/>
      <c r="AB123" s="3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  <c r="BC123" s="11"/>
      <c r="BD123" s="11"/>
      <c r="BE123" s="11"/>
      <c r="BF123" s="11"/>
      <c r="BG123" s="11"/>
      <c r="BH123" s="11"/>
      <c r="BI123" s="11"/>
      <c r="BJ123" s="11"/>
      <c r="BK123" s="11"/>
    </row>
    <row r="124">
      <c r="A124" s="3"/>
      <c r="B124" s="3"/>
      <c r="C124" s="3"/>
      <c r="D124" s="3"/>
      <c r="E124" s="3"/>
      <c r="F124" s="3"/>
      <c r="G124" s="3"/>
      <c r="H124" s="3"/>
      <c r="I124" s="11"/>
      <c r="J124" s="3"/>
      <c r="K124" s="3"/>
      <c r="L124" s="3"/>
      <c r="M124" s="3"/>
      <c r="N124" s="3"/>
      <c r="O124" s="3"/>
      <c r="P124" s="3"/>
      <c r="R124" s="173" t="s">
        <v>135</v>
      </c>
      <c r="S124" s="163" t="s">
        <v>135</v>
      </c>
      <c r="T124" s="164">
        <f>countifs(Redmine!V:V, S124)</f>
        <v>0</v>
      </c>
      <c r="U124" s="180">
        <f t="shared" si="31"/>
        <v>0</v>
      </c>
      <c r="V124" s="166" t="s">
        <v>136</v>
      </c>
      <c r="W124" s="181"/>
      <c r="X124" s="181"/>
      <c r="Y124" s="181"/>
      <c r="Z124" s="182"/>
      <c r="AA124" s="3"/>
      <c r="AB124" s="3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  <c r="BC124" s="11"/>
      <c r="BD124" s="11"/>
      <c r="BE124" s="11"/>
      <c r="BF124" s="11"/>
      <c r="BG124" s="11"/>
      <c r="BH124" s="11"/>
      <c r="BI124" s="11"/>
      <c r="BJ124" s="11"/>
      <c r="BK124" s="11"/>
    </row>
    <row r="125">
      <c r="A125" s="3"/>
      <c r="B125" s="3"/>
      <c r="C125" s="3"/>
      <c r="D125" s="3"/>
      <c r="E125" s="3"/>
      <c r="F125" s="3"/>
      <c r="G125" s="3"/>
      <c r="H125" s="3"/>
      <c r="I125" s="11"/>
      <c r="J125" s="188"/>
      <c r="K125" s="1"/>
      <c r="L125" s="189"/>
      <c r="M125" s="190"/>
      <c r="N125" s="11"/>
      <c r="O125" s="11"/>
      <c r="P125" s="11"/>
      <c r="R125" s="148" t="s">
        <v>85</v>
      </c>
      <c r="S125" s="191"/>
      <c r="T125" s="192">
        <f t="shared" ref="T125:U125" si="34">sum(T111:T124)</f>
        <v>0</v>
      </c>
      <c r="U125" s="193">
        <f t="shared" si="34"/>
        <v>0</v>
      </c>
      <c r="V125" s="152"/>
      <c r="W125" s="153"/>
      <c r="X125" s="153"/>
      <c r="Y125" s="154"/>
      <c r="Z125" s="155"/>
      <c r="AA125" s="3"/>
      <c r="AB125" s="3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  <c r="BC125" s="11"/>
      <c r="BD125" s="11"/>
      <c r="BE125" s="11"/>
      <c r="BF125" s="11"/>
      <c r="BG125" s="11"/>
      <c r="BH125" s="11"/>
      <c r="BI125" s="11"/>
      <c r="BJ125" s="11"/>
      <c r="BK125" s="11"/>
    </row>
    <row r="126">
      <c r="A126" s="3"/>
      <c r="B126" s="3"/>
      <c r="C126" s="3"/>
      <c r="D126" s="3"/>
      <c r="E126" s="3"/>
      <c r="F126" s="3"/>
      <c r="G126" s="3"/>
      <c r="H126" s="3"/>
      <c r="I126" s="11"/>
      <c r="J126" s="188"/>
      <c r="K126" s="1"/>
      <c r="L126" s="189"/>
      <c r="M126" s="190"/>
      <c r="N126" s="11"/>
      <c r="O126" s="11"/>
      <c r="P126" s="11"/>
      <c r="Q126" s="11"/>
      <c r="R126" s="11"/>
      <c r="S126" s="11"/>
      <c r="T126" s="11"/>
      <c r="U126" s="3"/>
      <c r="V126" s="3"/>
      <c r="W126" s="3"/>
      <c r="X126" s="3"/>
      <c r="Y126" s="3"/>
      <c r="Z126" s="3"/>
      <c r="AA126" s="3"/>
      <c r="AB126" s="3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  <c r="BC126" s="11"/>
      <c r="BD126" s="11"/>
      <c r="BE126" s="11"/>
      <c r="BF126" s="11"/>
      <c r="BG126" s="11"/>
      <c r="BH126" s="11"/>
      <c r="BI126" s="11"/>
      <c r="BJ126" s="11"/>
      <c r="BK126" s="11"/>
    </row>
    <row r="127">
      <c r="A127" s="3"/>
      <c r="B127" s="3"/>
      <c r="C127" s="3"/>
      <c r="D127" s="3"/>
      <c r="E127" s="3"/>
      <c r="F127" s="3"/>
      <c r="G127" s="3"/>
      <c r="H127" s="3"/>
      <c r="I127" s="11"/>
      <c r="J127" s="188"/>
      <c r="K127" s="1"/>
      <c r="L127" s="189"/>
      <c r="M127" s="190"/>
      <c r="N127" s="11"/>
      <c r="O127" s="11"/>
      <c r="P127" s="11"/>
      <c r="Q127" s="11"/>
      <c r="R127" s="11"/>
      <c r="S127" s="11"/>
      <c r="T127" s="11"/>
      <c r="U127" s="3"/>
      <c r="V127" s="3"/>
      <c r="W127" s="3"/>
      <c r="X127" s="3"/>
      <c r="Y127" s="3"/>
      <c r="Z127" s="3"/>
      <c r="AA127" s="3"/>
      <c r="AB127" s="3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  <c r="BC127" s="11"/>
      <c r="BD127" s="11"/>
      <c r="BE127" s="11"/>
      <c r="BF127" s="11"/>
      <c r="BG127" s="11"/>
      <c r="BH127" s="11"/>
      <c r="BI127" s="11"/>
      <c r="BJ127" s="11"/>
      <c r="BK127" s="11"/>
    </row>
    <row r="128">
      <c r="A128" s="3"/>
      <c r="B128" s="3"/>
      <c r="C128" s="3"/>
      <c r="D128" s="3"/>
      <c r="E128" s="3"/>
      <c r="F128" s="3"/>
      <c r="G128" s="3"/>
      <c r="H128" s="3"/>
      <c r="I128" s="11"/>
      <c r="J128" s="188"/>
      <c r="K128" s="1"/>
      <c r="L128" s="189"/>
      <c r="M128" s="190"/>
      <c r="N128" s="11"/>
      <c r="O128" s="11"/>
      <c r="P128" s="11"/>
      <c r="Q128" s="11"/>
      <c r="R128" s="11"/>
      <c r="S128" s="11"/>
      <c r="T128" s="11"/>
      <c r="U128" s="3"/>
      <c r="V128" s="3"/>
      <c r="W128" s="3"/>
      <c r="X128" s="3"/>
      <c r="Y128" s="3"/>
      <c r="Z128" s="3"/>
      <c r="AA128" s="3"/>
      <c r="AB128" s="3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  <c r="BC128" s="11"/>
      <c r="BD128" s="11"/>
      <c r="BE128" s="11"/>
      <c r="BF128" s="11"/>
      <c r="BG128" s="11"/>
      <c r="BH128" s="11"/>
      <c r="BI128" s="11"/>
      <c r="BJ128" s="11"/>
      <c r="BK128" s="11"/>
    </row>
    <row r="129">
      <c r="A129" s="3"/>
      <c r="B129" s="3"/>
      <c r="C129" s="3"/>
      <c r="D129" s="3"/>
      <c r="E129" s="3"/>
      <c r="F129" s="3"/>
      <c r="G129" s="3"/>
      <c r="H129" s="3"/>
      <c r="I129" s="11"/>
      <c r="J129" s="188"/>
      <c r="K129" s="1"/>
      <c r="L129" s="189"/>
      <c r="M129" s="190"/>
      <c r="N129" s="11"/>
      <c r="O129" s="11"/>
      <c r="P129" s="11"/>
      <c r="Q129" s="11"/>
      <c r="R129" s="11"/>
      <c r="S129" s="11"/>
      <c r="T129" s="11"/>
      <c r="U129" s="3"/>
      <c r="V129" s="3"/>
      <c r="W129" s="3"/>
      <c r="X129" s="3"/>
      <c r="Y129" s="3"/>
      <c r="Z129" s="3"/>
      <c r="AA129" s="3"/>
      <c r="AB129" s="3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  <c r="BC129" s="11"/>
      <c r="BD129" s="11"/>
      <c r="BE129" s="11"/>
      <c r="BF129" s="11"/>
      <c r="BG129" s="11"/>
      <c r="BH129" s="11"/>
      <c r="BI129" s="11"/>
      <c r="BJ129" s="11"/>
      <c r="BK129" s="11"/>
    </row>
    <row r="130">
      <c r="A130" s="3"/>
      <c r="B130" s="3"/>
      <c r="C130" s="3"/>
      <c r="D130" s="3"/>
      <c r="E130" s="3"/>
      <c r="F130" s="3"/>
      <c r="G130" s="3"/>
      <c r="H130" s="3"/>
      <c r="I130" s="11"/>
      <c r="J130" s="188"/>
      <c r="K130" s="1"/>
      <c r="L130" s="189"/>
      <c r="M130" s="190"/>
      <c r="N130" s="11"/>
      <c r="O130" s="11"/>
      <c r="P130" s="11"/>
      <c r="Q130" s="11"/>
      <c r="R130" s="11"/>
      <c r="S130" s="11"/>
      <c r="T130" s="11"/>
      <c r="U130" s="3"/>
      <c r="V130" s="3"/>
      <c r="W130" s="3"/>
      <c r="X130" s="3"/>
      <c r="Y130" s="3"/>
      <c r="Z130" s="3"/>
      <c r="AA130" s="3"/>
      <c r="AB130" s="3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  <c r="BC130" s="11"/>
      <c r="BD130" s="11"/>
      <c r="BE130" s="11"/>
      <c r="BF130" s="11"/>
      <c r="BG130" s="11"/>
      <c r="BH130" s="11"/>
      <c r="BI130" s="11"/>
      <c r="BJ130" s="11"/>
      <c r="BK130" s="11"/>
    </row>
  </sheetData>
  <mergeCells count="10">
    <mergeCell ref="R114:R118"/>
    <mergeCell ref="R119:R121"/>
    <mergeCell ref="R122:R123"/>
    <mergeCell ref="B3:D3"/>
    <mergeCell ref="B4:D4"/>
    <mergeCell ref="B5:D5"/>
    <mergeCell ref="B6:D6"/>
    <mergeCell ref="A18:H18"/>
    <mergeCell ref="A21:H21"/>
    <mergeCell ref="R111:R112"/>
  </mergeCells>
  <conditionalFormatting sqref="D9 F9 I9">
    <cfRule type="cellIs" dxfId="0" priority="1" operator="equal">
      <formula>"In Progress"</formula>
    </cfRule>
  </conditionalFormatting>
  <conditionalFormatting sqref="D9 F9 I9">
    <cfRule type="cellIs" dxfId="1" priority="2" operator="equal">
      <formula>"Pending"</formula>
    </cfRule>
  </conditionalFormatting>
  <conditionalFormatting sqref="D9 F9 I9">
    <cfRule type="cellIs" dxfId="2" priority="3" operator="equal">
      <formula>"Not Ready for Test"</formula>
    </cfRule>
  </conditionalFormatting>
  <conditionalFormatting sqref="D9 F9 I9">
    <cfRule type="cellIs" dxfId="3" priority="4" operator="equal">
      <formula>"Completed"</formula>
    </cfRule>
  </conditionalFormatting>
  <conditionalFormatting sqref="D9 F9 I9">
    <cfRule type="cellIs" dxfId="4" priority="5" operator="equal">
      <formula>"Cancelled"</formula>
    </cfRule>
  </conditionalFormatting>
  <conditionalFormatting sqref="L37:R37 S37:T38 U37:Y37 Z37:AA38 Q73:Z74 S84:BK89 L89:R89">
    <cfRule type="cellIs" dxfId="0" priority="6" operator="equal">
      <formula>"In Progress"</formula>
    </cfRule>
  </conditionalFormatting>
  <conditionalFormatting sqref="L37:R37 S37:T38 U37:Y37 Z37:AA38 Q73:Z74 S84:BK89 L89:R89">
    <cfRule type="cellIs" dxfId="1" priority="7" operator="equal">
      <formula>"Pending"</formula>
    </cfRule>
  </conditionalFormatting>
  <conditionalFormatting sqref="L37:R37 S37:T38 U37:Y37 Z37:AA38 Q73:Z74 S84:BK89 L89:R89">
    <cfRule type="cellIs" dxfId="2" priority="8" operator="equal">
      <formula>"Not Ready for Test"</formula>
    </cfRule>
  </conditionalFormatting>
  <conditionalFormatting sqref="L37:R37 S37:T38 U37:Y37 Z37:AA38 Q73:Z74 S84:BK89 L89:R89">
    <cfRule type="cellIs" dxfId="3" priority="9" operator="equal">
      <formula>"Completed"</formula>
    </cfRule>
  </conditionalFormatting>
  <conditionalFormatting sqref="L37:R37 S37:T38 U37:Y37 Z37:AA38 Q73:Z74 S84:BK89 L89:R89">
    <cfRule type="cellIs" dxfId="4" priority="10" operator="equal">
      <formula>"Cancelled"</formula>
    </cfRule>
  </conditionalFormatting>
  <conditionalFormatting sqref="G74 B84:C89 D84:K90 L84:N89 A89">
    <cfRule type="cellIs" dxfId="5" priority="11" operator="equal">
      <formula>"Completed"</formula>
    </cfRule>
  </conditionalFormatting>
  <conditionalFormatting sqref="G74 B84:C89 D84:K90 L84:N89 A89">
    <cfRule type="cellIs" dxfId="0" priority="12" operator="equal">
      <formula>"In Progress"</formula>
    </cfRule>
  </conditionalFormatting>
  <conditionalFormatting sqref="G74 B84:C89 D84:K90 L84:N89 A89">
    <cfRule type="cellIs" dxfId="6" priority="13" operator="equal">
      <formula>"Not Start"</formula>
    </cfRule>
  </conditionalFormatting>
  <conditionalFormatting sqref="E26:E29">
    <cfRule type="cellIs" dxfId="7" priority="14" operator="equal">
      <formula>"Not Start"</formula>
    </cfRule>
  </conditionalFormatting>
  <conditionalFormatting sqref="E26:E29">
    <cfRule type="cellIs" dxfId="0" priority="15" operator="equal">
      <formula>"In Progress"</formula>
    </cfRule>
  </conditionalFormatting>
  <conditionalFormatting sqref="E26:E29">
    <cfRule type="cellIs" dxfId="8" priority="16" operator="equal">
      <formula>"Completed"</formula>
    </cfRule>
  </conditionalFormatting>
  <conditionalFormatting sqref="C1:C2 C7:C10 B11:B12 D11:D12 C13 C25:C117 G74 A77:B77 D77:H90 I78:N90 A82:A83 B82:B90 A89:A90 B110:B117 D111:G116">
    <cfRule type="cellIs" dxfId="9" priority="17" operator="equal">
      <formula>"Not Ready for Test"</formula>
    </cfRule>
  </conditionalFormatting>
  <conditionalFormatting sqref="D73:D74">
    <cfRule type="containsText" dxfId="6" priority="18" operator="containsText" text="Not Start">
      <formula>NOT(ISERROR(SEARCH(("Not Start"),(D73))))</formula>
    </cfRule>
  </conditionalFormatting>
  <conditionalFormatting sqref="D73:D74">
    <cfRule type="containsText" dxfId="0" priority="19" operator="containsText" text="In Progress">
      <formula>NOT(ISERROR(SEARCH(("In Progress"),(D73))))</formula>
    </cfRule>
  </conditionalFormatting>
  <conditionalFormatting sqref="D73:D74">
    <cfRule type="containsText" dxfId="5" priority="20" operator="containsText" text="Completed">
      <formula>NOT(ISERROR(SEARCH(("Completed"),(D73))))</formula>
    </cfRule>
  </conditionalFormatting>
  <hyperlinks>
    <hyperlink r:id="rId2" ref="L85"/>
    <hyperlink r:id="rId3" ref="L86"/>
    <hyperlink r:id="rId4" ref="L87"/>
    <hyperlink r:id="rId5" ref="L88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"/>
  <legacy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 outlineLevelRow="2"/>
  <cols>
    <col customWidth="1" min="1" max="1" width="18.38"/>
    <col customWidth="1" min="2" max="2" width="34.25"/>
    <col customWidth="1" min="3" max="3" width="36.25"/>
    <col customWidth="1" min="4" max="4" width="19.38"/>
    <col customWidth="1" min="5" max="5" width="18.75"/>
    <col customWidth="1" min="6" max="8" width="47.75"/>
  </cols>
  <sheetData>
    <row r="1" ht="11.25" customHeight="1">
      <c r="A1" s="194" t="s">
        <v>137</v>
      </c>
      <c r="B1" s="195"/>
      <c r="C1" s="195"/>
      <c r="D1" s="196"/>
      <c r="E1" s="196"/>
      <c r="F1" s="196"/>
      <c r="G1" s="197"/>
      <c r="H1" s="197"/>
    </row>
    <row r="2">
      <c r="A2" s="198"/>
      <c r="B2" s="11"/>
      <c r="C2" s="11"/>
      <c r="D2" s="11"/>
      <c r="E2" s="11"/>
      <c r="F2" s="11"/>
      <c r="G2" s="11"/>
      <c r="H2" s="11"/>
    </row>
    <row r="3">
      <c r="A3" s="199" t="s">
        <v>138</v>
      </c>
      <c r="B3" s="200"/>
      <c r="C3" s="200"/>
      <c r="D3" s="200"/>
      <c r="E3" s="200"/>
      <c r="F3" s="200"/>
      <c r="G3" s="200"/>
      <c r="H3" s="200"/>
    </row>
    <row r="4" outlineLevel="1">
      <c r="A4" s="198"/>
      <c r="B4" s="11"/>
      <c r="C4" s="11"/>
      <c r="D4" s="11"/>
      <c r="E4" s="11"/>
      <c r="F4" s="11"/>
      <c r="G4" s="11"/>
      <c r="H4" s="11"/>
    </row>
    <row r="5" outlineLevel="1">
      <c r="A5" s="201" t="s">
        <v>48</v>
      </c>
      <c r="B5" s="202" t="s">
        <v>138</v>
      </c>
      <c r="C5" s="202" t="s">
        <v>55</v>
      </c>
      <c r="D5" s="11"/>
      <c r="E5" s="11"/>
      <c r="F5" s="11"/>
      <c r="G5" s="11"/>
      <c r="H5" s="11"/>
    </row>
    <row r="6" outlineLevel="1">
      <c r="A6" s="203">
        <v>1.0</v>
      </c>
      <c r="B6" s="204" t="s">
        <v>139</v>
      </c>
      <c r="C6" s="205"/>
      <c r="D6" s="11"/>
      <c r="E6" s="11"/>
      <c r="F6" s="3"/>
      <c r="G6" s="3"/>
      <c r="H6" s="3"/>
    </row>
    <row r="7" outlineLevel="1">
      <c r="A7" s="203">
        <v>2.0</v>
      </c>
      <c r="B7" s="204" t="s">
        <v>140</v>
      </c>
      <c r="C7" s="205"/>
      <c r="D7" s="11"/>
      <c r="E7" s="11"/>
      <c r="F7" s="3"/>
      <c r="G7" s="3"/>
      <c r="H7" s="3"/>
    </row>
    <row r="8" outlineLevel="1">
      <c r="A8" s="203">
        <v>3.0</v>
      </c>
      <c r="B8" s="204" t="s">
        <v>141</v>
      </c>
      <c r="C8" s="205"/>
      <c r="D8" s="11"/>
      <c r="E8" s="11"/>
      <c r="F8" s="3"/>
      <c r="G8" s="3"/>
      <c r="H8" s="3"/>
    </row>
    <row r="9" outlineLevel="1">
      <c r="A9" s="203">
        <v>4.0</v>
      </c>
      <c r="B9" s="204" t="s">
        <v>142</v>
      </c>
      <c r="C9" s="205"/>
      <c r="D9" s="11"/>
      <c r="E9" s="11"/>
      <c r="F9" s="3"/>
      <c r="G9" s="3"/>
      <c r="H9" s="3"/>
    </row>
    <row r="10" outlineLevel="1">
      <c r="A10" s="203">
        <v>5.0</v>
      </c>
      <c r="B10" s="204" t="s">
        <v>143</v>
      </c>
      <c r="C10" s="11"/>
      <c r="D10" s="11"/>
      <c r="E10" s="11"/>
      <c r="F10" s="11"/>
      <c r="G10" s="11"/>
      <c r="H10" s="11"/>
    </row>
    <row r="11" outlineLevel="1">
      <c r="A11" s="203">
        <v>6.0</v>
      </c>
      <c r="B11" s="204" t="s">
        <v>144</v>
      </c>
      <c r="C11" s="11"/>
      <c r="D11" s="11"/>
      <c r="E11" s="11"/>
      <c r="F11" s="11"/>
      <c r="G11" s="11"/>
      <c r="H11" s="11"/>
    </row>
    <row r="12" outlineLevel="1">
      <c r="A12" s="203">
        <v>7.0</v>
      </c>
      <c r="B12" s="204" t="s">
        <v>145</v>
      </c>
      <c r="C12" s="11"/>
      <c r="D12" s="11"/>
      <c r="E12" s="11"/>
      <c r="F12" s="11"/>
      <c r="G12" s="11"/>
      <c r="H12" s="11"/>
    </row>
    <row r="13" outlineLevel="1">
      <c r="A13" s="203">
        <v>8.0</v>
      </c>
      <c r="B13" s="204" t="s">
        <v>146</v>
      </c>
      <c r="C13" s="11"/>
      <c r="D13" s="11"/>
      <c r="E13" s="11"/>
      <c r="F13" s="11"/>
      <c r="G13" s="11"/>
      <c r="H13" s="11"/>
    </row>
    <row r="14" outlineLevel="1">
      <c r="A14" s="203">
        <v>9.0</v>
      </c>
      <c r="B14" s="204" t="s">
        <v>147</v>
      </c>
      <c r="C14" s="11"/>
      <c r="D14" s="11"/>
      <c r="E14" s="11"/>
      <c r="F14" s="11"/>
      <c r="G14" s="11"/>
      <c r="H14" s="11"/>
    </row>
    <row r="15" outlineLevel="1">
      <c r="A15" s="203">
        <v>10.0</v>
      </c>
      <c r="B15" s="204" t="s">
        <v>148</v>
      </c>
      <c r="C15" s="11"/>
      <c r="D15" s="11"/>
      <c r="E15" s="11"/>
      <c r="F15" s="11"/>
      <c r="G15" s="11"/>
      <c r="H15" s="11"/>
    </row>
    <row r="16" outlineLevel="1">
      <c r="A16" s="203">
        <v>11.0</v>
      </c>
      <c r="B16" s="204" t="s">
        <v>149</v>
      </c>
      <c r="C16" s="11"/>
      <c r="D16" s="11"/>
      <c r="E16" s="11"/>
      <c r="F16" s="11"/>
      <c r="G16" s="11"/>
      <c r="H16" s="11"/>
    </row>
    <row r="17" outlineLevel="1">
      <c r="A17" s="203">
        <v>12.0</v>
      </c>
      <c r="B17" s="204" t="s">
        <v>150</v>
      </c>
      <c r="C17" s="11"/>
      <c r="D17" s="11"/>
      <c r="E17" s="11"/>
      <c r="F17" s="11"/>
      <c r="G17" s="11"/>
      <c r="H17" s="11"/>
    </row>
    <row r="18" outlineLevel="1">
      <c r="A18" s="203">
        <v>13.0</v>
      </c>
      <c r="B18" s="204" t="s">
        <v>151</v>
      </c>
      <c r="C18" s="11"/>
      <c r="D18" s="11"/>
      <c r="E18" s="11"/>
      <c r="F18" s="11"/>
      <c r="G18" s="11"/>
      <c r="H18" s="11"/>
    </row>
    <row r="19" outlineLevel="1">
      <c r="A19" s="203">
        <v>14.0</v>
      </c>
      <c r="B19" s="204" t="s">
        <v>152</v>
      </c>
      <c r="C19" s="206" t="s">
        <v>153</v>
      </c>
      <c r="D19" s="11"/>
      <c r="E19" s="11"/>
      <c r="F19" s="11"/>
      <c r="G19" s="11"/>
      <c r="H19" s="11"/>
    </row>
    <row r="20" outlineLevel="1">
      <c r="A20" s="203">
        <v>15.0</v>
      </c>
      <c r="B20" s="204"/>
      <c r="C20" s="11"/>
      <c r="D20" s="11"/>
      <c r="E20" s="11"/>
      <c r="F20" s="11"/>
      <c r="G20" s="11"/>
      <c r="H20" s="11"/>
    </row>
    <row r="21" outlineLevel="1">
      <c r="A21" s="203">
        <v>16.0</v>
      </c>
      <c r="B21" s="204"/>
      <c r="C21" s="11"/>
      <c r="D21" s="11"/>
      <c r="E21" s="11"/>
      <c r="F21" s="11"/>
      <c r="G21" s="11"/>
      <c r="H21" s="11"/>
    </row>
    <row r="22">
      <c r="A22" s="203"/>
      <c r="B22" s="11"/>
      <c r="C22" s="11"/>
      <c r="D22" s="11"/>
      <c r="E22" s="11"/>
      <c r="F22" s="11"/>
      <c r="G22" s="11"/>
      <c r="H22" s="11"/>
    </row>
    <row r="23">
      <c r="A23" s="207" t="s">
        <v>154</v>
      </c>
      <c r="B23" s="200"/>
      <c r="C23" s="200"/>
      <c r="D23" s="200"/>
      <c r="E23" s="200"/>
      <c r="F23" s="200"/>
      <c r="G23" s="200"/>
      <c r="H23" s="200"/>
    </row>
    <row r="24" outlineLevel="1">
      <c r="A24" s="198"/>
      <c r="B24" s="11"/>
      <c r="C24" s="11"/>
      <c r="D24" s="11"/>
      <c r="E24" s="11"/>
      <c r="F24" s="11"/>
      <c r="G24" s="11"/>
      <c r="H24" s="11"/>
    </row>
    <row r="25" outlineLevel="1">
      <c r="A25" s="208" t="s">
        <v>48</v>
      </c>
      <c r="B25" s="209" t="s">
        <v>154</v>
      </c>
      <c r="C25" s="11"/>
      <c r="D25" s="11"/>
      <c r="E25" s="11"/>
      <c r="F25" s="11"/>
      <c r="G25" s="11"/>
      <c r="H25" s="11"/>
    </row>
    <row r="26" outlineLevel="1">
      <c r="A26" s="198">
        <v>1.0</v>
      </c>
      <c r="B26" s="12"/>
      <c r="C26" s="11"/>
      <c r="D26" s="11"/>
      <c r="E26" s="11"/>
      <c r="F26" s="11"/>
      <c r="G26" s="11"/>
      <c r="H26" s="11"/>
    </row>
    <row r="27" outlineLevel="1">
      <c r="A27" s="198">
        <v>2.0</v>
      </c>
      <c r="B27" s="12"/>
      <c r="C27" s="11"/>
      <c r="D27" s="11"/>
      <c r="E27" s="11"/>
      <c r="F27" s="11"/>
      <c r="G27" s="11"/>
      <c r="H27" s="11"/>
    </row>
    <row r="28" outlineLevel="1">
      <c r="A28" s="210">
        <v>3.0</v>
      </c>
      <c r="B28" s="12"/>
      <c r="C28" s="11"/>
      <c r="D28" s="11"/>
      <c r="E28" s="11"/>
      <c r="F28" s="11"/>
      <c r="G28" s="11"/>
      <c r="H28" s="11"/>
    </row>
    <row r="29">
      <c r="A29" s="3"/>
      <c r="B29" s="3"/>
      <c r="C29" s="3"/>
      <c r="D29" s="3"/>
      <c r="E29" s="3"/>
      <c r="F29" s="3"/>
      <c r="G29" s="3"/>
      <c r="H29" s="3"/>
    </row>
    <row r="30">
      <c r="A30" s="211" t="s">
        <v>155</v>
      </c>
      <c r="B30" s="200"/>
      <c r="C30" s="200"/>
      <c r="D30" s="200"/>
      <c r="E30" s="200"/>
      <c r="F30" s="200"/>
      <c r="G30" s="200"/>
      <c r="H30" s="200"/>
    </row>
    <row r="31" outlineLevel="1">
      <c r="A31" s="198"/>
      <c r="B31" s="11"/>
      <c r="C31" s="11"/>
      <c r="D31" s="11"/>
      <c r="E31" s="11"/>
      <c r="F31" s="11"/>
      <c r="G31" s="11"/>
      <c r="H31" s="11"/>
    </row>
    <row r="32" outlineLevel="1">
      <c r="A32" s="208" t="s">
        <v>48</v>
      </c>
      <c r="B32" s="209" t="s">
        <v>155</v>
      </c>
      <c r="C32" s="11"/>
      <c r="D32" s="11"/>
      <c r="E32" s="11"/>
      <c r="F32" s="11"/>
      <c r="G32" s="11"/>
      <c r="H32" s="11"/>
    </row>
    <row r="33" outlineLevel="1">
      <c r="A33" s="198">
        <v>1.0</v>
      </c>
      <c r="B33" s="12"/>
      <c r="C33" s="11"/>
      <c r="D33" s="11"/>
      <c r="E33" s="11"/>
      <c r="F33" s="11"/>
      <c r="G33" s="11"/>
      <c r="H33" s="11"/>
    </row>
    <row r="34" outlineLevel="1">
      <c r="A34" s="210">
        <v>2.0</v>
      </c>
      <c r="B34" s="12"/>
      <c r="C34" s="11"/>
      <c r="D34" s="11"/>
      <c r="E34" s="11"/>
      <c r="F34" s="11"/>
      <c r="G34" s="11"/>
      <c r="H34" s="11"/>
    </row>
    <row r="35" outlineLevel="1">
      <c r="A35" s="198">
        <v>3.0</v>
      </c>
      <c r="B35" s="12"/>
      <c r="C35" s="11"/>
      <c r="D35" s="11"/>
      <c r="E35" s="11"/>
      <c r="F35" s="11"/>
      <c r="G35" s="11"/>
      <c r="H35" s="11"/>
    </row>
    <row r="36" outlineLevel="1">
      <c r="A36" s="210">
        <v>4.0</v>
      </c>
      <c r="B36" s="12"/>
      <c r="C36" s="11"/>
      <c r="D36" s="11"/>
      <c r="E36" s="11"/>
      <c r="F36" s="212"/>
      <c r="G36" s="212"/>
      <c r="H36" s="212"/>
    </row>
    <row r="37" outlineLevel="1">
      <c r="A37" s="198">
        <v>5.0</v>
      </c>
      <c r="B37" s="12"/>
      <c r="C37" s="11"/>
      <c r="D37" s="11"/>
      <c r="E37" s="11"/>
      <c r="F37" s="212"/>
      <c r="G37" s="212"/>
      <c r="H37" s="212"/>
    </row>
    <row r="38">
      <c r="A38" s="3"/>
      <c r="B38" s="3"/>
      <c r="C38" s="3"/>
      <c r="D38" s="3"/>
      <c r="E38" s="3"/>
      <c r="F38" s="3"/>
      <c r="G38" s="3"/>
      <c r="H38" s="3"/>
    </row>
    <row r="39">
      <c r="A39" s="211" t="s">
        <v>156</v>
      </c>
      <c r="B39" s="200"/>
      <c r="C39" s="200"/>
      <c r="D39" s="200"/>
      <c r="E39" s="200"/>
      <c r="F39" s="200"/>
      <c r="G39" s="200"/>
      <c r="H39" s="200"/>
    </row>
    <row r="40" outlineLevel="1">
      <c r="A40" s="198"/>
      <c r="B40" s="11"/>
      <c r="C40" s="11"/>
      <c r="D40" s="11"/>
      <c r="E40" s="11"/>
      <c r="F40" s="11"/>
      <c r="G40" s="11"/>
      <c r="H40" s="11"/>
    </row>
    <row r="41" outlineLevel="1">
      <c r="A41" s="208" t="s">
        <v>48</v>
      </c>
      <c r="B41" s="209" t="s">
        <v>156</v>
      </c>
      <c r="C41" s="11"/>
      <c r="D41" s="11"/>
      <c r="E41" s="11"/>
      <c r="F41" s="11"/>
      <c r="G41" s="11"/>
      <c r="H41" s="11"/>
    </row>
    <row r="42" ht="42.75" customHeight="1" outlineLevel="1">
      <c r="A42" s="198">
        <v>1.0</v>
      </c>
      <c r="B42" s="12"/>
      <c r="C42" s="11"/>
      <c r="D42" s="11"/>
      <c r="E42" s="11"/>
      <c r="F42" s="11"/>
      <c r="G42" s="11"/>
      <c r="H42" s="11"/>
    </row>
    <row r="43" outlineLevel="1">
      <c r="A43" s="198">
        <v>2.0</v>
      </c>
      <c r="B43" s="12" t="s">
        <v>157</v>
      </c>
      <c r="C43" s="11"/>
      <c r="D43" s="11"/>
      <c r="E43" s="11"/>
      <c r="F43" s="11"/>
      <c r="G43" s="11"/>
      <c r="H43" s="11"/>
    </row>
    <row r="44">
      <c r="A44" s="198"/>
      <c r="B44" s="11"/>
      <c r="C44" s="11"/>
      <c r="D44" s="11"/>
      <c r="E44" s="11"/>
      <c r="F44" s="11"/>
      <c r="G44" s="11"/>
      <c r="H44" s="11"/>
    </row>
    <row r="45">
      <c r="A45" s="213" t="s">
        <v>158</v>
      </c>
      <c r="B45" s="200"/>
      <c r="C45" s="200"/>
      <c r="D45" s="200"/>
      <c r="E45" s="200"/>
      <c r="F45" s="200"/>
      <c r="G45" s="200"/>
      <c r="H45" s="200"/>
    </row>
    <row r="46" outlineLevel="1">
      <c r="A46" s="198"/>
      <c r="B46" s="11"/>
      <c r="C46" s="11"/>
      <c r="D46" s="11"/>
      <c r="E46" s="11"/>
      <c r="F46" s="11"/>
      <c r="G46" s="11"/>
      <c r="H46" s="11"/>
    </row>
    <row r="47" outlineLevel="1">
      <c r="A47" s="201" t="s">
        <v>48</v>
      </c>
      <c r="B47" s="202" t="s">
        <v>159</v>
      </c>
      <c r="C47" s="214" t="s">
        <v>160</v>
      </c>
      <c r="D47" s="11"/>
      <c r="E47" s="11"/>
      <c r="F47" s="11"/>
      <c r="G47" s="11"/>
      <c r="H47" s="11"/>
    </row>
    <row r="48" outlineLevel="1">
      <c r="A48" s="198">
        <v>1.0</v>
      </c>
      <c r="B48" s="12"/>
      <c r="C48" s="12"/>
      <c r="D48" s="11"/>
      <c r="E48" s="11"/>
      <c r="F48" s="11"/>
      <c r="G48" s="11"/>
      <c r="H48" s="11"/>
    </row>
    <row r="49" outlineLevel="1">
      <c r="A49" s="210">
        <v>2.0</v>
      </c>
      <c r="B49" s="12"/>
      <c r="C49" s="12"/>
      <c r="D49" s="11"/>
      <c r="E49" s="11"/>
      <c r="F49" s="11"/>
      <c r="G49" s="11"/>
      <c r="H49" s="11"/>
    </row>
    <row r="50">
      <c r="A50" s="198"/>
      <c r="B50" s="11"/>
      <c r="C50" s="11"/>
      <c r="D50" s="11"/>
      <c r="E50" s="11"/>
      <c r="F50" s="11"/>
      <c r="G50" s="11"/>
      <c r="H50" s="11"/>
    </row>
    <row r="51">
      <c r="A51" s="215" t="s">
        <v>161</v>
      </c>
      <c r="B51" s="200"/>
      <c r="C51" s="200"/>
      <c r="D51" s="200"/>
      <c r="E51" s="200"/>
      <c r="F51" s="200"/>
      <c r="G51" s="200"/>
      <c r="H51" s="200"/>
    </row>
    <row r="52" outlineLevel="1">
      <c r="A52" s="198"/>
      <c r="B52" s="11"/>
      <c r="C52" s="3"/>
      <c r="D52" s="11"/>
      <c r="E52" s="11"/>
      <c r="F52" s="11"/>
      <c r="G52" s="11"/>
      <c r="H52" s="11"/>
    </row>
    <row r="53" outlineLevel="1">
      <c r="A53" s="201" t="s">
        <v>48</v>
      </c>
      <c r="B53" s="216" t="s">
        <v>162</v>
      </c>
      <c r="C53" s="216" t="s">
        <v>163</v>
      </c>
      <c r="D53" s="202" t="s">
        <v>164</v>
      </c>
      <c r="E53" s="216" t="s">
        <v>165</v>
      </c>
      <c r="F53" s="202" t="s">
        <v>55</v>
      </c>
      <c r="G53" s="3"/>
      <c r="H53" s="202"/>
    </row>
    <row r="54" outlineLevel="1">
      <c r="A54" s="203">
        <v>1.0</v>
      </c>
      <c r="B54" s="11" t="s">
        <v>166</v>
      </c>
      <c r="C54" s="11" t="s">
        <v>167</v>
      </c>
      <c r="D54" s="11" t="s">
        <v>168</v>
      </c>
      <c r="E54" s="3"/>
      <c r="F54" s="11"/>
      <c r="G54" s="3"/>
      <c r="H54" s="11"/>
    </row>
    <row r="55" outlineLevel="1">
      <c r="A55" s="198">
        <v>2.0</v>
      </c>
      <c r="B55" s="11" t="s">
        <v>169</v>
      </c>
      <c r="C55" s="11" t="s">
        <v>170</v>
      </c>
      <c r="D55" s="11" t="s">
        <v>168</v>
      </c>
      <c r="E55" s="3"/>
      <c r="F55" s="11"/>
      <c r="G55" s="3"/>
      <c r="H55" s="11"/>
    </row>
    <row r="56" outlineLevel="1">
      <c r="A56" s="198">
        <v>3.0</v>
      </c>
      <c r="B56" s="11" t="s">
        <v>169</v>
      </c>
      <c r="C56" s="11" t="s">
        <v>171</v>
      </c>
      <c r="D56" s="11" t="s">
        <v>168</v>
      </c>
      <c r="E56" s="3"/>
      <c r="F56" s="11"/>
      <c r="G56" s="3"/>
      <c r="H56" s="11"/>
    </row>
    <row r="57">
      <c r="A57" s="198"/>
      <c r="B57" s="11"/>
      <c r="C57" s="11"/>
      <c r="D57" s="11"/>
      <c r="E57" s="11"/>
      <c r="F57" s="11"/>
      <c r="G57" s="11"/>
      <c r="H57" s="11"/>
    </row>
    <row r="58">
      <c r="A58" s="215" t="s">
        <v>172</v>
      </c>
      <c r="B58" s="200"/>
      <c r="C58" s="200"/>
      <c r="D58" s="200"/>
      <c r="E58" s="200"/>
      <c r="F58" s="200"/>
      <c r="G58" s="200"/>
      <c r="H58" s="200"/>
    </row>
    <row r="59" outlineLevel="1">
      <c r="A59" s="3"/>
      <c r="B59" s="11"/>
      <c r="C59" s="11"/>
      <c r="D59" s="11"/>
      <c r="E59" s="11"/>
      <c r="F59" s="11"/>
      <c r="G59" s="11"/>
      <c r="H59" s="11"/>
    </row>
    <row r="60" outlineLevel="1">
      <c r="A60" s="217" t="s">
        <v>70</v>
      </c>
      <c r="B60" s="11"/>
      <c r="C60" s="11"/>
      <c r="D60" s="11"/>
      <c r="E60" s="11"/>
      <c r="F60" s="11"/>
      <c r="G60" s="11"/>
      <c r="H60" s="11"/>
    </row>
    <row r="61" outlineLevel="2">
      <c r="A61" s="3"/>
      <c r="B61" s="11"/>
      <c r="C61" s="11"/>
      <c r="D61" s="11"/>
      <c r="E61" s="11"/>
      <c r="F61" s="11"/>
      <c r="G61" s="11"/>
      <c r="H61" s="11"/>
    </row>
    <row r="62" outlineLevel="2">
      <c r="A62" s="218" t="s">
        <v>173</v>
      </c>
      <c r="B62" s="11"/>
      <c r="C62" s="11"/>
      <c r="D62" s="11"/>
      <c r="E62" s="11"/>
      <c r="F62" s="11"/>
      <c r="G62" s="11"/>
      <c r="H62" s="11"/>
    </row>
    <row r="63" outlineLevel="2">
      <c r="A63" s="3"/>
      <c r="B63" s="11"/>
      <c r="C63" s="11"/>
      <c r="D63" s="11"/>
      <c r="E63" s="11"/>
      <c r="F63" s="11"/>
      <c r="G63" s="11"/>
      <c r="H63" s="11"/>
    </row>
    <row r="64" outlineLevel="2">
      <c r="A64" s="219" t="s">
        <v>70</v>
      </c>
      <c r="B64" s="219" t="s">
        <v>174</v>
      </c>
      <c r="C64" s="219" t="s">
        <v>175</v>
      </c>
      <c r="D64" s="219" t="s">
        <v>176</v>
      </c>
      <c r="E64" s="11"/>
      <c r="F64" s="11"/>
      <c r="G64" s="11"/>
      <c r="H64" s="11"/>
    </row>
    <row r="65" outlineLevel="2">
      <c r="A65" s="220" t="s">
        <v>79</v>
      </c>
      <c r="B65" s="221" t="s">
        <v>177</v>
      </c>
      <c r="C65" s="221" t="s">
        <v>178</v>
      </c>
      <c r="D65" s="221" t="s">
        <v>179</v>
      </c>
      <c r="E65" s="11"/>
      <c r="F65" s="11"/>
      <c r="G65" s="11"/>
      <c r="H65" s="11"/>
    </row>
    <row r="66" outlineLevel="2">
      <c r="A66" s="220" t="s">
        <v>180</v>
      </c>
      <c r="B66" s="221" t="s">
        <v>181</v>
      </c>
      <c r="C66" s="221" t="s">
        <v>182</v>
      </c>
      <c r="D66" s="221" t="s">
        <v>183</v>
      </c>
      <c r="E66" s="11"/>
      <c r="F66" s="11"/>
      <c r="G66" s="11"/>
      <c r="H66" s="11"/>
    </row>
    <row r="67" outlineLevel="2">
      <c r="A67" s="220" t="s">
        <v>184</v>
      </c>
      <c r="B67" s="221" t="s">
        <v>185</v>
      </c>
      <c r="C67" s="221" t="s">
        <v>186</v>
      </c>
      <c r="D67" s="221" t="s">
        <v>187</v>
      </c>
      <c r="E67" s="11"/>
      <c r="F67" s="11"/>
      <c r="G67" s="11"/>
      <c r="H67" s="11"/>
    </row>
    <row r="68" outlineLevel="2">
      <c r="A68" s="218"/>
      <c r="B68" s="12"/>
      <c r="C68" s="222"/>
      <c r="D68" s="3"/>
      <c r="E68" s="3"/>
      <c r="F68" s="11"/>
      <c r="G68" s="11"/>
      <c r="H68" s="11"/>
    </row>
    <row r="69" outlineLevel="1">
      <c r="A69" s="217" t="s">
        <v>71</v>
      </c>
      <c r="B69" s="11"/>
      <c r="C69" s="11"/>
      <c r="D69" s="11"/>
      <c r="E69" s="11"/>
      <c r="F69" s="11"/>
      <c r="G69" s="11"/>
      <c r="H69" s="11"/>
    </row>
    <row r="70" outlineLevel="2">
      <c r="A70" s="3"/>
      <c r="B70" s="11"/>
      <c r="C70" s="11"/>
      <c r="D70" s="11"/>
      <c r="E70" s="11"/>
      <c r="F70" s="11"/>
      <c r="G70" s="11"/>
      <c r="H70" s="11"/>
    </row>
    <row r="71" outlineLevel="2">
      <c r="A71" s="218" t="s">
        <v>188</v>
      </c>
      <c r="B71" s="11"/>
      <c r="C71" s="11"/>
      <c r="D71" s="11"/>
      <c r="E71" s="11"/>
      <c r="F71" s="11"/>
      <c r="G71" s="11"/>
      <c r="H71" s="11"/>
    </row>
    <row r="72" outlineLevel="2">
      <c r="A72" s="3"/>
      <c r="B72" s="11"/>
      <c r="C72" s="11"/>
      <c r="D72" s="11"/>
      <c r="E72" s="11"/>
      <c r="F72" s="11"/>
      <c r="G72" s="11"/>
      <c r="H72" s="11"/>
    </row>
    <row r="73" outlineLevel="2">
      <c r="A73" s="219" t="s">
        <v>71</v>
      </c>
      <c r="B73" s="219" t="s">
        <v>189</v>
      </c>
      <c r="C73" s="219" t="s">
        <v>190</v>
      </c>
      <c r="D73" s="3"/>
      <c r="E73" s="3"/>
      <c r="F73" s="11"/>
      <c r="G73" s="11"/>
      <c r="H73" s="11"/>
    </row>
    <row r="74" outlineLevel="2">
      <c r="A74" s="223" t="s">
        <v>83</v>
      </c>
      <c r="B74" s="220" t="s">
        <v>191</v>
      </c>
      <c r="C74" s="221" t="s">
        <v>192</v>
      </c>
      <c r="D74" s="3"/>
      <c r="E74" s="3"/>
      <c r="F74" s="11"/>
      <c r="G74" s="11"/>
      <c r="H74" s="11"/>
    </row>
    <row r="75" outlineLevel="2">
      <c r="A75" s="223" t="s">
        <v>80</v>
      </c>
      <c r="B75" s="220" t="s">
        <v>193</v>
      </c>
      <c r="C75" s="221" t="s">
        <v>194</v>
      </c>
      <c r="D75" s="3"/>
      <c r="E75" s="3"/>
      <c r="F75" s="11"/>
      <c r="G75" s="11"/>
      <c r="H75" s="11"/>
    </row>
    <row r="76" outlineLevel="2">
      <c r="A76" s="223" t="s">
        <v>84</v>
      </c>
      <c r="B76" s="220" t="s">
        <v>195</v>
      </c>
      <c r="C76" s="221" t="s">
        <v>196</v>
      </c>
      <c r="D76" s="3"/>
      <c r="E76" s="3"/>
      <c r="F76" s="11"/>
      <c r="G76" s="11"/>
      <c r="H76" s="11"/>
    </row>
    <row r="77" outlineLevel="2">
      <c r="A77" s="3"/>
      <c r="B77" s="11"/>
      <c r="C77" s="11"/>
      <c r="D77" s="11"/>
      <c r="E77" s="11"/>
      <c r="F77" s="11"/>
      <c r="G77" s="11"/>
      <c r="H77" s="11"/>
    </row>
    <row r="78" outlineLevel="1">
      <c r="A78" s="217" t="s">
        <v>197</v>
      </c>
      <c r="B78" s="11"/>
      <c r="C78" s="11"/>
      <c r="D78" s="11"/>
      <c r="E78" s="11"/>
      <c r="F78" s="11"/>
      <c r="G78" s="11"/>
      <c r="H78" s="11"/>
    </row>
    <row r="79" outlineLevel="2">
      <c r="A79" s="3"/>
      <c r="B79" s="11"/>
      <c r="C79" s="11"/>
      <c r="D79" s="11"/>
      <c r="E79" s="11"/>
      <c r="F79" s="11"/>
      <c r="G79" s="11"/>
      <c r="H79" s="11"/>
    </row>
    <row r="80" outlineLevel="2">
      <c r="A80" s="218" t="s">
        <v>198</v>
      </c>
      <c r="B80" s="11"/>
      <c r="C80" s="11"/>
      <c r="D80" s="11"/>
      <c r="E80" s="11"/>
      <c r="F80" s="11"/>
      <c r="G80" s="11"/>
      <c r="H80" s="11"/>
    </row>
    <row r="81" outlineLevel="2">
      <c r="A81" s="3"/>
      <c r="B81" s="11"/>
      <c r="C81" s="11"/>
      <c r="D81" s="11"/>
      <c r="E81" s="11"/>
      <c r="F81" s="11"/>
      <c r="G81" s="11"/>
      <c r="H81" s="11"/>
    </row>
    <row r="82" outlineLevel="2">
      <c r="A82" s="219" t="s">
        <v>69</v>
      </c>
      <c r="B82" s="219" t="s">
        <v>199</v>
      </c>
      <c r="C82" s="219" t="s">
        <v>70</v>
      </c>
      <c r="D82" s="219" t="s">
        <v>71</v>
      </c>
      <c r="E82" s="3"/>
      <c r="F82" s="11"/>
      <c r="G82" s="11"/>
      <c r="H82" s="11"/>
    </row>
    <row r="83" outlineLevel="2">
      <c r="A83" s="224">
        <v>1.0</v>
      </c>
      <c r="B83" s="221" t="s">
        <v>200</v>
      </c>
      <c r="C83" s="221" t="s">
        <v>79</v>
      </c>
      <c r="D83" s="221" t="s">
        <v>83</v>
      </c>
      <c r="E83" s="3"/>
      <c r="F83" s="11"/>
      <c r="G83" s="11"/>
      <c r="H83" s="11"/>
    </row>
    <row r="84" outlineLevel="2">
      <c r="A84" s="224">
        <v>2.0</v>
      </c>
      <c r="B84" s="221" t="s">
        <v>201</v>
      </c>
      <c r="C84" s="221" t="s">
        <v>79</v>
      </c>
      <c r="D84" s="221" t="s">
        <v>80</v>
      </c>
      <c r="E84" s="3"/>
      <c r="F84" s="11"/>
      <c r="G84" s="11"/>
      <c r="H84" s="11"/>
    </row>
    <row r="85" outlineLevel="2">
      <c r="A85" s="224">
        <v>3.0</v>
      </c>
      <c r="B85" s="221" t="s">
        <v>202</v>
      </c>
      <c r="C85" s="221" t="s">
        <v>180</v>
      </c>
      <c r="D85" s="221" t="s">
        <v>83</v>
      </c>
      <c r="E85" s="3"/>
      <c r="F85" s="11"/>
      <c r="G85" s="11"/>
      <c r="H85" s="11"/>
    </row>
    <row r="86" outlineLevel="2">
      <c r="A86" s="224">
        <v>4.0</v>
      </c>
      <c r="B86" s="221" t="s">
        <v>203</v>
      </c>
      <c r="C86" s="221" t="s">
        <v>180</v>
      </c>
      <c r="D86" s="221" t="s">
        <v>80</v>
      </c>
      <c r="E86" s="3"/>
      <c r="F86" s="11"/>
      <c r="G86" s="11"/>
      <c r="H86" s="11"/>
    </row>
    <row r="87" outlineLevel="2">
      <c r="A87" s="224">
        <v>5.0</v>
      </c>
      <c r="B87" s="221" t="s">
        <v>204</v>
      </c>
      <c r="C87" s="221" t="s">
        <v>79</v>
      </c>
      <c r="D87" s="221" t="s">
        <v>84</v>
      </c>
      <c r="E87" s="3"/>
      <c r="F87" s="11"/>
      <c r="G87" s="11"/>
      <c r="H87" s="11"/>
    </row>
    <row r="88" outlineLevel="2">
      <c r="A88" s="224">
        <v>6.0</v>
      </c>
      <c r="B88" s="221" t="s">
        <v>205</v>
      </c>
      <c r="C88" s="221" t="s">
        <v>180</v>
      </c>
      <c r="D88" s="221" t="s">
        <v>84</v>
      </c>
      <c r="E88" s="3"/>
      <c r="F88" s="11"/>
      <c r="G88" s="11"/>
      <c r="H88" s="11"/>
    </row>
    <row r="89" outlineLevel="2">
      <c r="A89" s="224">
        <v>7.0</v>
      </c>
      <c r="B89" s="221" t="s">
        <v>206</v>
      </c>
      <c r="C89" s="221" t="s">
        <v>184</v>
      </c>
      <c r="D89" s="221" t="s">
        <v>83</v>
      </c>
      <c r="E89" s="3"/>
      <c r="F89" s="11"/>
      <c r="G89" s="11"/>
      <c r="H89" s="11"/>
    </row>
    <row r="90" outlineLevel="2">
      <c r="A90" s="224">
        <v>8.0</v>
      </c>
      <c r="B90" s="221" t="s">
        <v>207</v>
      </c>
      <c r="C90" s="221" t="s">
        <v>184</v>
      </c>
      <c r="D90" s="221" t="s">
        <v>80</v>
      </c>
      <c r="E90" s="3"/>
      <c r="F90" s="11"/>
      <c r="G90" s="11"/>
      <c r="H90" s="11"/>
    </row>
    <row r="91" outlineLevel="2">
      <c r="A91" s="224">
        <v>9.0</v>
      </c>
      <c r="B91" s="221" t="s">
        <v>208</v>
      </c>
      <c r="C91" s="221" t="s">
        <v>184</v>
      </c>
      <c r="D91" s="221" t="s">
        <v>84</v>
      </c>
      <c r="E91" s="3"/>
      <c r="F91" s="11"/>
      <c r="G91" s="11"/>
      <c r="H91" s="11"/>
    </row>
    <row r="92" outlineLevel="1">
      <c r="A92" s="198"/>
      <c r="B92" s="11"/>
      <c r="C92" s="11"/>
      <c r="D92" s="11"/>
      <c r="E92" s="11"/>
      <c r="F92" s="11"/>
      <c r="G92" s="11"/>
      <c r="H92" s="11"/>
    </row>
    <row r="93">
      <c r="A93" s="198"/>
      <c r="B93" s="11"/>
      <c r="C93" s="11"/>
      <c r="D93" s="11"/>
      <c r="E93" s="11"/>
      <c r="F93" s="11"/>
      <c r="G93" s="11"/>
      <c r="H93" s="11"/>
    </row>
    <row r="94">
      <c r="A94" s="213" t="s">
        <v>209</v>
      </c>
      <c r="B94" s="200"/>
      <c r="C94" s="200"/>
      <c r="D94" s="200"/>
      <c r="E94" s="200"/>
      <c r="F94" s="200"/>
      <c r="G94" s="200"/>
      <c r="H94" s="200"/>
    </row>
    <row r="95" outlineLevel="1">
      <c r="A95" s="225"/>
      <c r="B95" s="11"/>
      <c r="C95" s="11"/>
      <c r="D95" s="11"/>
      <c r="E95" s="11"/>
      <c r="F95" s="11"/>
      <c r="G95" s="11"/>
      <c r="H95" s="11"/>
    </row>
    <row r="96" outlineLevel="1">
      <c r="A96" s="201" t="s">
        <v>48</v>
      </c>
      <c r="B96" s="202" t="s">
        <v>209</v>
      </c>
      <c r="C96" s="202" t="s">
        <v>210</v>
      </c>
      <c r="D96" s="202" t="s">
        <v>53</v>
      </c>
      <c r="E96" s="202" t="s">
        <v>211</v>
      </c>
      <c r="F96" s="11"/>
      <c r="G96" s="11"/>
      <c r="H96" s="11"/>
    </row>
    <row r="97" outlineLevel="1">
      <c r="A97" s="226">
        <v>1.0</v>
      </c>
      <c r="B97" s="227" t="s">
        <v>212</v>
      </c>
      <c r="C97" s="227"/>
      <c r="D97" s="227"/>
      <c r="E97" s="227"/>
      <c r="F97" s="11"/>
      <c r="G97" s="11"/>
      <c r="H97" s="11"/>
    </row>
    <row r="98" outlineLevel="1">
      <c r="A98" s="210">
        <v>1.1</v>
      </c>
      <c r="B98" s="205" t="s">
        <v>213</v>
      </c>
      <c r="C98" s="228" t="s">
        <v>214</v>
      </c>
      <c r="D98" s="205" t="s">
        <v>23</v>
      </c>
      <c r="E98" s="12" t="s">
        <v>215</v>
      </c>
      <c r="F98" s="11"/>
      <c r="G98" s="11"/>
      <c r="H98" s="11"/>
    </row>
    <row r="99" outlineLevel="1">
      <c r="A99" s="210">
        <v>1.2</v>
      </c>
      <c r="B99" s="78" t="s">
        <v>216</v>
      </c>
      <c r="C99" s="228" t="s">
        <v>217</v>
      </c>
      <c r="D99" s="205" t="s">
        <v>218</v>
      </c>
      <c r="E99" s="12" t="s">
        <v>215</v>
      </c>
      <c r="F99" s="11"/>
      <c r="G99" s="11"/>
      <c r="H99" s="11"/>
    </row>
    <row r="100" outlineLevel="1">
      <c r="A100" s="229">
        <v>2.0</v>
      </c>
      <c r="B100" s="227" t="s">
        <v>219</v>
      </c>
      <c r="C100" s="227"/>
      <c r="D100" s="227"/>
      <c r="E100" s="227"/>
      <c r="F100" s="11"/>
      <c r="G100" s="11"/>
      <c r="H100" s="11"/>
    </row>
    <row r="101" outlineLevel="1">
      <c r="A101" s="210">
        <v>2.1</v>
      </c>
      <c r="B101" s="205" t="s">
        <v>220</v>
      </c>
      <c r="C101" s="205" t="s">
        <v>221</v>
      </c>
      <c r="D101" s="204" t="s">
        <v>25</v>
      </c>
      <c r="E101" s="12" t="s">
        <v>215</v>
      </c>
      <c r="F101" s="11"/>
      <c r="G101" s="11"/>
      <c r="H101" s="11"/>
    </row>
    <row r="102" outlineLevel="1">
      <c r="A102" s="210">
        <v>2.2</v>
      </c>
      <c r="B102" s="205" t="s">
        <v>219</v>
      </c>
      <c r="C102" s="205" t="s">
        <v>222</v>
      </c>
      <c r="D102" s="204" t="s">
        <v>25</v>
      </c>
      <c r="E102" s="12" t="s">
        <v>215</v>
      </c>
      <c r="F102" s="11"/>
      <c r="G102" s="11"/>
      <c r="H102" s="11"/>
    </row>
    <row r="103" outlineLevel="1">
      <c r="A103" s="229">
        <v>3.0</v>
      </c>
      <c r="B103" s="227" t="s">
        <v>223</v>
      </c>
      <c r="C103" s="227"/>
      <c r="D103" s="227"/>
      <c r="E103" s="227"/>
      <c r="F103" s="11"/>
      <c r="G103" s="11"/>
      <c r="H103" s="11"/>
    </row>
    <row r="104" outlineLevel="1">
      <c r="A104" s="210">
        <v>3.1</v>
      </c>
      <c r="B104" s="205" t="s">
        <v>223</v>
      </c>
      <c r="C104" s="204" t="s">
        <v>224</v>
      </c>
      <c r="D104" s="205" t="s">
        <v>225</v>
      </c>
      <c r="E104" s="12" t="s">
        <v>215</v>
      </c>
      <c r="F104" s="11"/>
      <c r="G104" s="11"/>
      <c r="H104" s="11"/>
    </row>
    <row r="105" outlineLevel="1">
      <c r="A105" s="230">
        <v>4.0</v>
      </c>
      <c r="B105" s="227" t="s">
        <v>226</v>
      </c>
      <c r="C105" s="227"/>
      <c r="D105" s="227"/>
      <c r="E105" s="227"/>
      <c r="F105" s="11"/>
      <c r="G105" s="11"/>
      <c r="H105" s="11"/>
    </row>
    <row r="106" outlineLevel="1">
      <c r="A106" s="210">
        <v>4.1</v>
      </c>
      <c r="B106" s="204" t="s">
        <v>227</v>
      </c>
      <c r="C106" s="205" t="s">
        <v>228</v>
      </c>
      <c r="D106" s="204" t="s">
        <v>25</v>
      </c>
      <c r="E106" s="12" t="s">
        <v>215</v>
      </c>
      <c r="F106" s="11"/>
      <c r="G106" s="11"/>
      <c r="H106" s="11"/>
    </row>
    <row r="107" outlineLevel="1">
      <c r="A107" s="210">
        <v>4.2</v>
      </c>
      <c r="B107" s="205" t="s">
        <v>229</v>
      </c>
      <c r="C107" s="205" t="s">
        <v>230</v>
      </c>
      <c r="D107" s="204" t="s">
        <v>25</v>
      </c>
      <c r="E107" s="12" t="s">
        <v>215</v>
      </c>
      <c r="F107" s="11"/>
      <c r="G107" s="11"/>
      <c r="H107" s="11"/>
    </row>
    <row r="108" outlineLevel="1">
      <c r="A108" s="210">
        <v>4.3</v>
      </c>
      <c r="B108" s="205" t="s">
        <v>231</v>
      </c>
      <c r="C108" s="205" t="s">
        <v>232</v>
      </c>
      <c r="D108" s="204" t="s">
        <v>25</v>
      </c>
      <c r="E108" s="12" t="s">
        <v>215</v>
      </c>
      <c r="F108" s="11"/>
      <c r="G108" s="11"/>
      <c r="H108" s="11"/>
    </row>
    <row r="109">
      <c r="A109" s="3"/>
      <c r="B109" s="3"/>
      <c r="C109" s="3"/>
      <c r="D109" s="3"/>
      <c r="E109" s="3"/>
      <c r="F109" s="3"/>
      <c r="G109" s="3"/>
      <c r="H109" s="3"/>
    </row>
    <row r="110">
      <c r="A110" s="215" t="s">
        <v>233</v>
      </c>
      <c r="B110" s="231"/>
      <c r="C110" s="231"/>
      <c r="D110" s="231"/>
      <c r="E110" s="231"/>
      <c r="F110" s="231"/>
      <c r="G110" s="231"/>
      <c r="H110" s="231"/>
    </row>
    <row r="111" outlineLevel="1">
      <c r="A111" s="198"/>
      <c r="B111" s="74"/>
      <c r="C111" s="74"/>
      <c r="D111" s="74"/>
      <c r="E111" s="74"/>
      <c r="F111" s="74"/>
      <c r="G111" s="74"/>
      <c r="H111" s="74"/>
    </row>
    <row r="112" outlineLevel="1">
      <c r="A112" s="201" t="s">
        <v>48</v>
      </c>
      <c r="B112" s="232" t="s">
        <v>233</v>
      </c>
      <c r="C112" s="74"/>
      <c r="D112" s="74"/>
      <c r="E112" s="74"/>
      <c r="F112" s="74"/>
      <c r="G112" s="74"/>
      <c r="H112" s="74"/>
    </row>
    <row r="113" outlineLevel="1">
      <c r="A113" s="233">
        <v>1.0</v>
      </c>
      <c r="B113" s="234" t="s">
        <v>234</v>
      </c>
      <c r="C113" s="74"/>
      <c r="D113" s="74"/>
      <c r="E113" s="74"/>
      <c r="F113" s="74"/>
      <c r="G113" s="74"/>
      <c r="H113" s="74"/>
    </row>
    <row r="114" outlineLevel="1">
      <c r="A114" s="233">
        <v>2.0</v>
      </c>
      <c r="B114" s="234" t="s">
        <v>235</v>
      </c>
      <c r="C114" s="74"/>
      <c r="D114" s="74"/>
      <c r="E114" s="74"/>
      <c r="F114" s="74"/>
      <c r="G114" s="74"/>
      <c r="H114" s="74"/>
    </row>
    <row r="115" outlineLevel="1">
      <c r="A115" s="233">
        <v>3.0</v>
      </c>
      <c r="B115" s="234" t="s">
        <v>236</v>
      </c>
      <c r="C115" s="74"/>
      <c r="D115" s="74"/>
      <c r="E115" s="74"/>
      <c r="F115" s="74"/>
      <c r="G115" s="74"/>
      <c r="H115" s="74"/>
    </row>
    <row r="116" outlineLevel="1">
      <c r="A116" s="235">
        <v>4.0</v>
      </c>
      <c r="B116" s="234" t="s">
        <v>237</v>
      </c>
      <c r="C116" s="74"/>
      <c r="D116" s="74"/>
      <c r="E116" s="74"/>
      <c r="F116" s="74"/>
      <c r="G116" s="74"/>
      <c r="H116" s="74"/>
    </row>
    <row r="117">
      <c r="A117" s="198"/>
      <c r="B117" s="74"/>
      <c r="C117" s="74"/>
      <c r="D117" s="74"/>
      <c r="E117" s="74"/>
      <c r="F117" s="74"/>
      <c r="G117" s="74"/>
      <c r="H117" s="74"/>
    </row>
    <row r="118">
      <c r="A118" s="199" t="s">
        <v>238</v>
      </c>
      <c r="B118" s="231"/>
      <c r="C118" s="231"/>
      <c r="D118" s="231"/>
      <c r="E118" s="231"/>
      <c r="F118" s="231"/>
      <c r="G118" s="231"/>
      <c r="H118" s="231"/>
    </row>
    <row r="119" outlineLevel="1">
      <c r="A119" s="198"/>
      <c r="B119" s="74"/>
      <c r="C119" s="74"/>
      <c r="D119" s="74"/>
      <c r="E119" s="74"/>
      <c r="F119" s="74"/>
      <c r="G119" s="74"/>
      <c r="H119" s="74"/>
    </row>
    <row r="120" outlineLevel="1">
      <c r="A120" s="201" t="s">
        <v>48</v>
      </c>
      <c r="B120" s="201" t="s">
        <v>238</v>
      </c>
      <c r="C120" s="201" t="s">
        <v>239</v>
      </c>
      <c r="D120" s="74"/>
      <c r="E120" s="74"/>
      <c r="F120" s="74"/>
      <c r="G120" s="74"/>
      <c r="H120" s="74"/>
    </row>
    <row r="121" outlineLevel="1">
      <c r="A121" s="203">
        <v>1.0</v>
      </c>
      <c r="B121" s="203" t="s">
        <v>240</v>
      </c>
      <c r="C121" s="203" t="s">
        <v>241</v>
      </c>
      <c r="D121" s="74"/>
      <c r="E121" s="74"/>
      <c r="F121" s="74"/>
      <c r="G121" s="74"/>
      <c r="H121" s="74"/>
    </row>
    <row r="122" outlineLevel="1">
      <c r="A122" s="203">
        <v>2.0</v>
      </c>
      <c r="B122" s="236" t="s">
        <v>242</v>
      </c>
      <c r="C122" s="236" t="s">
        <v>243</v>
      </c>
      <c r="D122" s="74"/>
      <c r="E122" s="74"/>
      <c r="F122" s="74"/>
      <c r="G122" s="74"/>
      <c r="H122" s="74"/>
    </row>
    <row r="123" outlineLevel="1">
      <c r="A123" s="203">
        <v>3.0</v>
      </c>
      <c r="B123" s="203" t="s">
        <v>168</v>
      </c>
      <c r="C123" s="203" t="s">
        <v>244</v>
      </c>
      <c r="D123" s="74"/>
      <c r="E123" s="74"/>
      <c r="F123" s="74"/>
      <c r="G123" s="74"/>
      <c r="H123" s="74"/>
    </row>
    <row r="124" outlineLevel="1">
      <c r="A124" s="203">
        <v>4.0</v>
      </c>
      <c r="B124" s="203" t="s">
        <v>245</v>
      </c>
      <c r="C124" s="203" t="s">
        <v>246</v>
      </c>
      <c r="D124" s="74"/>
      <c r="E124" s="74"/>
      <c r="F124" s="74"/>
      <c r="G124" s="74"/>
      <c r="H124" s="74"/>
    </row>
    <row r="125" outlineLevel="1">
      <c r="A125" s="203">
        <v>5.0</v>
      </c>
      <c r="B125" s="236" t="s">
        <v>247</v>
      </c>
      <c r="C125" s="203" t="s">
        <v>248</v>
      </c>
      <c r="D125" s="74"/>
      <c r="E125" s="74"/>
      <c r="F125" s="74"/>
      <c r="G125" s="74"/>
      <c r="H125" s="74"/>
    </row>
    <row r="126" outlineLevel="1">
      <c r="A126" s="203">
        <v>6.0</v>
      </c>
      <c r="B126" s="203" t="s">
        <v>249</v>
      </c>
      <c r="C126" s="203" t="s">
        <v>250</v>
      </c>
      <c r="D126" s="74"/>
      <c r="E126" s="74"/>
      <c r="F126" s="74"/>
      <c r="G126" s="74"/>
      <c r="H126" s="74"/>
    </row>
    <row r="127" outlineLevel="1">
      <c r="A127" s="203">
        <v>7.0</v>
      </c>
      <c r="B127" s="236" t="s">
        <v>251</v>
      </c>
      <c r="C127" s="236" t="s">
        <v>252</v>
      </c>
      <c r="D127" s="74"/>
      <c r="E127" s="74"/>
      <c r="F127" s="74"/>
      <c r="G127" s="74"/>
      <c r="H127" s="74"/>
    </row>
    <row r="128" outlineLevel="1">
      <c r="A128" s="203">
        <v>8.0</v>
      </c>
      <c r="B128" s="203" t="s">
        <v>253</v>
      </c>
      <c r="C128" s="236" t="s">
        <v>254</v>
      </c>
      <c r="D128" s="74"/>
      <c r="E128" s="74"/>
      <c r="F128" s="74"/>
      <c r="G128" s="74"/>
      <c r="H128" s="74"/>
    </row>
    <row r="129" outlineLevel="1">
      <c r="A129" s="203">
        <v>9.0</v>
      </c>
      <c r="B129" s="203" t="s">
        <v>255</v>
      </c>
      <c r="C129" s="203" t="s">
        <v>256</v>
      </c>
      <c r="D129" s="74"/>
      <c r="E129" s="74"/>
      <c r="F129" s="74"/>
      <c r="G129" s="74"/>
      <c r="H129" s="74"/>
    </row>
    <row r="130" outlineLevel="1">
      <c r="A130" s="203">
        <v>10.0</v>
      </c>
      <c r="B130" s="236" t="s">
        <v>257</v>
      </c>
      <c r="C130" s="236" t="s">
        <v>258</v>
      </c>
      <c r="D130" s="74"/>
      <c r="E130" s="74"/>
      <c r="F130" s="74"/>
      <c r="G130" s="74"/>
      <c r="H130" s="74"/>
    </row>
    <row r="131" outlineLevel="1">
      <c r="A131" s="203">
        <v>11.0</v>
      </c>
      <c r="B131" s="236" t="s">
        <v>259</v>
      </c>
      <c r="C131" s="203" t="s">
        <v>260</v>
      </c>
      <c r="D131" s="74"/>
      <c r="E131" s="74"/>
      <c r="F131" s="74"/>
      <c r="G131" s="74"/>
      <c r="H131" s="74"/>
    </row>
    <row r="132" outlineLevel="1">
      <c r="A132" s="203">
        <v>12.0</v>
      </c>
      <c r="B132" s="203" t="s">
        <v>261</v>
      </c>
      <c r="C132" s="203" t="s">
        <v>262</v>
      </c>
      <c r="D132" s="74"/>
      <c r="E132" s="74"/>
      <c r="F132" s="74"/>
      <c r="G132" s="74"/>
      <c r="H132" s="74"/>
    </row>
    <row r="133" outlineLevel="1">
      <c r="A133" s="203">
        <v>13.0</v>
      </c>
      <c r="B133" s="203" t="s">
        <v>263</v>
      </c>
      <c r="C133" s="236" t="s">
        <v>263</v>
      </c>
      <c r="D133" s="74"/>
      <c r="E133" s="74"/>
      <c r="F133" s="74"/>
      <c r="G133" s="74"/>
      <c r="H133" s="74"/>
    </row>
    <row r="134" outlineLevel="1">
      <c r="A134" s="203">
        <v>14.0</v>
      </c>
      <c r="B134" s="203" t="s">
        <v>264</v>
      </c>
      <c r="C134" s="236" t="s">
        <v>265</v>
      </c>
      <c r="D134" s="74"/>
      <c r="E134" s="74"/>
      <c r="F134" s="74"/>
      <c r="G134" s="74"/>
      <c r="H134" s="74"/>
    </row>
    <row r="135" outlineLevel="1">
      <c r="A135" s="203">
        <v>15.0</v>
      </c>
      <c r="B135" s="237" t="s">
        <v>266</v>
      </c>
      <c r="C135" s="236" t="s">
        <v>267</v>
      </c>
      <c r="D135" s="74"/>
      <c r="E135" s="74"/>
      <c r="F135" s="74"/>
      <c r="G135" s="74"/>
      <c r="H135" s="74"/>
    </row>
    <row r="136" outlineLevel="1">
      <c r="A136" s="203">
        <v>16.0</v>
      </c>
      <c r="B136" s="238" t="s">
        <v>268</v>
      </c>
      <c r="C136" s="203"/>
      <c r="D136" s="74"/>
      <c r="E136" s="74"/>
      <c r="F136" s="74"/>
      <c r="G136" s="74"/>
      <c r="H136" s="74"/>
    </row>
    <row r="137" outlineLevel="1">
      <c r="A137" s="203">
        <v>17.0</v>
      </c>
      <c r="B137" s="238" t="s">
        <v>269</v>
      </c>
      <c r="C137" s="203"/>
      <c r="D137" s="74"/>
      <c r="E137" s="74"/>
      <c r="F137" s="74"/>
      <c r="G137" s="74"/>
      <c r="H137" s="74"/>
    </row>
    <row r="138" outlineLevel="1">
      <c r="A138" s="203">
        <v>18.0</v>
      </c>
      <c r="B138" s="239" t="s">
        <v>270</v>
      </c>
      <c r="C138" s="203" t="s">
        <v>271</v>
      </c>
      <c r="D138" s="74"/>
      <c r="E138" s="74"/>
      <c r="F138" s="74"/>
      <c r="G138" s="74"/>
      <c r="H138" s="74"/>
    </row>
    <row r="139" outlineLevel="1">
      <c r="A139" s="203">
        <v>19.0</v>
      </c>
      <c r="B139" s="240" t="s">
        <v>272</v>
      </c>
      <c r="C139" s="241" t="s">
        <v>273</v>
      </c>
      <c r="D139" s="74"/>
      <c r="E139" s="74"/>
      <c r="F139" s="74"/>
      <c r="G139" s="74"/>
      <c r="H139" s="74"/>
    </row>
    <row r="140" outlineLevel="1">
      <c r="A140" s="203">
        <v>20.0</v>
      </c>
      <c r="B140" s="241" t="s">
        <v>274</v>
      </c>
      <c r="C140" s="241" t="s">
        <v>275</v>
      </c>
      <c r="D140" s="74"/>
      <c r="E140" s="74"/>
      <c r="F140" s="74"/>
      <c r="G140" s="74"/>
      <c r="H140" s="74"/>
    </row>
    <row r="141" outlineLevel="1">
      <c r="A141" s="203">
        <v>21.0</v>
      </c>
      <c r="B141" s="240" t="str">
        <f>HYPERLINK("https://www.neotys.com/","NeoLoad")</f>
        <v>NeoLoad</v>
      </c>
      <c r="C141" s="241" t="s">
        <v>276</v>
      </c>
      <c r="D141" s="74"/>
      <c r="E141" s="74"/>
      <c r="F141" s="74"/>
      <c r="G141" s="74"/>
      <c r="H141" s="74"/>
    </row>
    <row r="142" outlineLevel="1">
      <c r="A142" s="203">
        <v>22.0</v>
      </c>
      <c r="B142" s="242" t="s">
        <v>277</v>
      </c>
      <c r="C142" s="236" t="s">
        <v>278</v>
      </c>
      <c r="D142" s="74"/>
      <c r="E142" s="74"/>
      <c r="F142" s="74"/>
      <c r="G142" s="74"/>
      <c r="H142" s="74"/>
    </row>
    <row r="143" outlineLevel="1">
      <c r="A143" s="203">
        <v>23.0</v>
      </c>
      <c r="B143" s="243" t="str">
        <f>HYPERLINK("https://nmap.org/zenmap/","NMAP")</f>
        <v>NMAP</v>
      </c>
      <c r="C143" s="241" t="s">
        <v>279</v>
      </c>
      <c r="D143" s="74"/>
      <c r="E143" s="74"/>
      <c r="F143" s="74"/>
      <c r="G143" s="74"/>
      <c r="H143" s="74"/>
    </row>
    <row r="144" outlineLevel="1">
      <c r="A144" s="203">
        <v>24.0</v>
      </c>
      <c r="B144" s="242" t="s">
        <v>280</v>
      </c>
      <c r="C144" s="236" t="s">
        <v>278</v>
      </c>
      <c r="D144" s="74"/>
      <c r="E144" s="74"/>
      <c r="F144" s="74"/>
      <c r="G144" s="74"/>
      <c r="H144" s="74"/>
    </row>
    <row r="145" outlineLevel="1">
      <c r="A145" s="203">
        <v>25.0</v>
      </c>
      <c r="B145" s="244" t="s">
        <v>281</v>
      </c>
      <c r="C145" s="236" t="s">
        <v>282</v>
      </c>
      <c r="D145" s="74"/>
      <c r="E145" s="74"/>
      <c r="F145" s="74"/>
      <c r="G145" s="74"/>
      <c r="H145" s="74"/>
    </row>
    <row r="146" outlineLevel="1">
      <c r="A146" s="203">
        <v>26.0</v>
      </c>
      <c r="B146" s="242" t="s">
        <v>283</v>
      </c>
      <c r="C146" s="236" t="s">
        <v>284</v>
      </c>
      <c r="D146" s="74"/>
      <c r="E146" s="74"/>
      <c r="F146" s="74"/>
      <c r="G146" s="74"/>
      <c r="H146" s="74"/>
    </row>
    <row r="147" outlineLevel="1">
      <c r="A147" s="203">
        <v>27.0</v>
      </c>
      <c r="B147" s="243" t="str">
        <f>HYPERLINK("https://www.postman.com/downloads/   ","Postman")</f>
        <v>Postman</v>
      </c>
      <c r="C147" s="241"/>
      <c r="D147" s="74"/>
      <c r="E147" s="74"/>
      <c r="F147" s="74"/>
      <c r="G147" s="74"/>
      <c r="H147" s="74"/>
    </row>
    <row r="148" outlineLevel="1">
      <c r="A148" s="203">
        <v>28.0</v>
      </c>
      <c r="B148" s="245" t="str">
        <f>HYPERLINK("https://chrome.google.com/webstore/detail/postman-interceptor/aicmkgpgakddgnaphhhpliifpcfhicfo?hl=en","Postman Interceptor")</f>
        <v>Postman Interceptor</v>
      </c>
      <c r="C148" s="241" t="s">
        <v>285</v>
      </c>
      <c r="D148" s="74"/>
      <c r="E148" s="74"/>
      <c r="F148" s="74"/>
      <c r="G148" s="74"/>
      <c r="H148" s="74"/>
    </row>
    <row r="149" outlineLevel="1">
      <c r="A149" s="203">
        <v>29.0</v>
      </c>
      <c r="B149" s="239" t="s">
        <v>286</v>
      </c>
      <c r="C149" s="236" t="s">
        <v>287</v>
      </c>
      <c r="D149" s="74"/>
      <c r="E149" s="74"/>
      <c r="F149" s="74"/>
      <c r="G149" s="74"/>
      <c r="H149" s="74"/>
    </row>
    <row r="150" outlineLevel="1">
      <c r="A150" s="203">
        <v>30.0</v>
      </c>
      <c r="B150" s="240" t="str">
        <f>HYPERLINK("https://portswigger.net/","Burp Suite")</f>
        <v>Burp Suite</v>
      </c>
      <c r="C150" s="241" t="s">
        <v>288</v>
      </c>
      <c r="D150" s="74"/>
      <c r="E150" s="74"/>
      <c r="F150" s="74"/>
      <c r="G150" s="74"/>
      <c r="H150" s="74"/>
    </row>
    <row r="151" outlineLevel="1">
      <c r="A151" s="203">
        <v>31.0</v>
      </c>
      <c r="B151" s="246" t="str">
        <f>HYPERLINK("https://www.wireshark.org/","Wireshark")</f>
        <v>Wireshark</v>
      </c>
      <c r="C151" s="241" t="s">
        <v>289</v>
      </c>
      <c r="D151" s="74"/>
      <c r="E151" s="74"/>
      <c r="F151" s="74"/>
      <c r="G151" s="74"/>
      <c r="H151" s="74"/>
    </row>
    <row r="152" outlineLevel="1">
      <c r="A152" s="203">
        <v>32.0</v>
      </c>
      <c r="B152" s="198" t="s">
        <v>290</v>
      </c>
      <c r="C152" s="241"/>
      <c r="D152" s="74"/>
      <c r="E152" s="74"/>
      <c r="F152" s="74"/>
      <c r="G152" s="74"/>
      <c r="H152" s="74"/>
    </row>
    <row r="153" outlineLevel="1">
      <c r="A153" s="203">
        <v>33.0</v>
      </c>
      <c r="B153" s="242" t="s">
        <v>291</v>
      </c>
      <c r="C153" s="241"/>
      <c r="D153" s="74"/>
      <c r="E153" s="74"/>
      <c r="F153" s="74"/>
      <c r="G153" s="74"/>
      <c r="H153" s="74"/>
    </row>
    <row r="154" outlineLevel="1">
      <c r="A154" s="203">
        <v>34.0</v>
      </c>
      <c r="B154" s="247" t="s">
        <v>292</v>
      </c>
      <c r="C154" s="210" t="s">
        <v>293</v>
      </c>
      <c r="D154" s="74"/>
      <c r="E154" s="74"/>
      <c r="F154" s="74"/>
      <c r="G154" s="74"/>
      <c r="H154" s="74"/>
    </row>
    <row r="155" outlineLevel="1">
      <c r="A155" s="203">
        <v>35.0</v>
      </c>
      <c r="B155" s="243" t="str">
        <f>HYPERLINK("http://robotframework.org/","Robotframework")</f>
        <v>Robotframework</v>
      </c>
      <c r="C155" s="241" t="s">
        <v>294</v>
      </c>
      <c r="D155" s="74"/>
      <c r="E155" s="74"/>
      <c r="F155" s="74"/>
      <c r="G155" s="74"/>
      <c r="H155" s="74"/>
    </row>
    <row r="156" outlineLevel="1">
      <c r="A156" s="203">
        <v>36.0</v>
      </c>
      <c r="B156" s="210" t="s">
        <v>295</v>
      </c>
      <c r="C156" s="241" t="s">
        <v>296</v>
      </c>
      <c r="D156" s="74"/>
      <c r="E156" s="74"/>
      <c r="F156" s="74"/>
      <c r="G156" s="74"/>
      <c r="H156" s="74"/>
    </row>
    <row r="157" outlineLevel="1">
      <c r="A157" s="203">
        <v>37.0</v>
      </c>
      <c r="B157" s="210" t="s">
        <v>297</v>
      </c>
      <c r="C157" s="203" t="s">
        <v>298</v>
      </c>
      <c r="D157" s="74"/>
      <c r="E157" s="74"/>
      <c r="F157" s="74"/>
      <c r="G157" s="74"/>
      <c r="H157" s="74"/>
    </row>
    <row r="158" outlineLevel="1">
      <c r="A158" s="203">
        <v>38.0</v>
      </c>
      <c r="B158" s="247" t="s">
        <v>299</v>
      </c>
      <c r="C158" s="203" t="s">
        <v>300</v>
      </c>
      <c r="D158" s="74"/>
      <c r="E158" s="74"/>
      <c r="F158" s="74"/>
      <c r="G158" s="74"/>
      <c r="H158" s="74"/>
    </row>
    <row r="159">
      <c r="A159" s="198"/>
      <c r="B159" s="74"/>
      <c r="C159" s="74"/>
      <c r="D159" s="74"/>
      <c r="E159" s="74"/>
      <c r="F159" s="74"/>
      <c r="G159" s="74"/>
      <c r="H159" s="74"/>
    </row>
    <row r="160">
      <c r="A160" s="213" t="s">
        <v>301</v>
      </c>
      <c r="B160" s="231"/>
      <c r="C160" s="231"/>
      <c r="D160" s="231"/>
      <c r="E160" s="231"/>
      <c r="F160" s="231"/>
      <c r="G160" s="231"/>
      <c r="H160" s="231"/>
    </row>
    <row r="161" outlineLevel="1">
      <c r="A161" s="198"/>
      <c r="B161" s="74"/>
      <c r="C161" s="74"/>
      <c r="D161" s="74"/>
      <c r="E161" s="74"/>
      <c r="F161" s="74"/>
      <c r="G161" s="74"/>
      <c r="H161" s="74"/>
    </row>
    <row r="162" outlineLevel="1">
      <c r="A162" s="248" t="s">
        <v>219</v>
      </c>
      <c r="B162" s="74"/>
      <c r="C162" s="74"/>
      <c r="D162" s="74"/>
      <c r="E162" s="74"/>
      <c r="F162" s="74"/>
      <c r="G162" s="74"/>
      <c r="H162" s="74"/>
    </row>
    <row r="163" outlineLevel="1">
      <c r="A163" s="198"/>
      <c r="B163" s="74"/>
      <c r="C163" s="74"/>
      <c r="D163" s="74"/>
      <c r="E163" s="74"/>
      <c r="F163" s="74"/>
      <c r="G163" s="74"/>
      <c r="H163" s="74"/>
    </row>
    <row r="164" outlineLevel="1">
      <c r="A164" s="201" t="s">
        <v>48</v>
      </c>
      <c r="B164" s="249" t="s">
        <v>302</v>
      </c>
      <c r="C164" s="74"/>
      <c r="D164" s="74"/>
      <c r="E164" s="74"/>
      <c r="F164" s="74"/>
      <c r="G164" s="74"/>
      <c r="H164" s="74"/>
    </row>
    <row r="165" outlineLevel="1">
      <c r="A165" s="203">
        <v>1.0</v>
      </c>
      <c r="B165" s="250" t="s">
        <v>303</v>
      </c>
      <c r="C165" s="74"/>
      <c r="D165" s="74"/>
      <c r="E165" s="74"/>
      <c r="F165" s="74"/>
      <c r="G165" s="74"/>
      <c r="H165" s="74"/>
    </row>
    <row r="166" outlineLevel="1">
      <c r="A166" s="203">
        <v>2.0</v>
      </c>
      <c r="B166" s="251" t="s">
        <v>304</v>
      </c>
      <c r="C166" s="74"/>
      <c r="D166" s="74"/>
      <c r="E166" s="74"/>
      <c r="F166" s="74"/>
      <c r="G166" s="74"/>
      <c r="H166" s="74"/>
    </row>
    <row r="167" outlineLevel="1">
      <c r="A167" s="203">
        <v>3.0</v>
      </c>
      <c r="B167" s="252" t="s">
        <v>305</v>
      </c>
      <c r="C167" s="74"/>
      <c r="D167" s="74"/>
      <c r="E167" s="74"/>
      <c r="F167" s="74"/>
      <c r="G167" s="74"/>
      <c r="H167" s="74"/>
    </row>
    <row r="168" outlineLevel="1">
      <c r="A168" s="203">
        <v>4.0</v>
      </c>
      <c r="B168" s="251" t="s">
        <v>306</v>
      </c>
      <c r="C168" s="74"/>
      <c r="D168" s="74"/>
      <c r="E168" s="74"/>
      <c r="F168" s="74"/>
      <c r="G168" s="74"/>
      <c r="H168" s="74"/>
    </row>
    <row r="169" outlineLevel="1">
      <c r="A169" s="203">
        <v>5.0</v>
      </c>
      <c r="B169" s="251" t="s">
        <v>307</v>
      </c>
      <c r="C169" s="74"/>
      <c r="D169" s="74"/>
      <c r="E169" s="74"/>
      <c r="F169" s="74"/>
      <c r="G169" s="74"/>
      <c r="H169" s="74"/>
    </row>
    <row r="170" outlineLevel="1">
      <c r="A170" s="203">
        <v>6.0</v>
      </c>
      <c r="B170" s="250" t="s">
        <v>308</v>
      </c>
      <c r="C170" s="74"/>
      <c r="D170" s="74"/>
      <c r="E170" s="74"/>
      <c r="F170" s="74"/>
      <c r="G170" s="74"/>
      <c r="H170" s="74"/>
    </row>
    <row r="171" outlineLevel="1">
      <c r="A171" s="203">
        <v>7.0</v>
      </c>
      <c r="B171" s="250" t="s">
        <v>309</v>
      </c>
      <c r="C171" s="74"/>
      <c r="D171" s="74"/>
      <c r="E171" s="74"/>
      <c r="F171" s="74"/>
      <c r="G171" s="74"/>
      <c r="H171" s="74"/>
    </row>
    <row r="172" outlineLevel="1">
      <c r="A172" s="203">
        <v>8.0</v>
      </c>
      <c r="B172" s="253" t="s">
        <v>310</v>
      </c>
      <c r="C172" s="74"/>
      <c r="D172" s="74"/>
      <c r="E172" s="74"/>
      <c r="F172" s="74"/>
      <c r="G172" s="74"/>
      <c r="H172" s="74"/>
    </row>
    <row r="173" outlineLevel="1">
      <c r="A173" s="203">
        <v>9.0</v>
      </c>
      <c r="B173" s="254" t="s">
        <v>311</v>
      </c>
      <c r="C173" s="74"/>
      <c r="D173" s="74"/>
      <c r="E173" s="74"/>
      <c r="F173" s="74"/>
      <c r="G173" s="74"/>
      <c r="H173" s="74"/>
    </row>
    <row r="174" outlineLevel="1">
      <c r="A174" s="203">
        <v>10.0</v>
      </c>
      <c r="B174" s="255" t="str">
        <f>HYPERLINK("http://wiki.thaisamut.co.th/display/QA/Priority+Definition","Priority definition")</f>
        <v>Priority definition</v>
      </c>
      <c r="C174" s="74"/>
      <c r="D174" s="74"/>
      <c r="E174" s="74"/>
      <c r="F174" s="74"/>
      <c r="G174" s="74"/>
      <c r="H174" s="74"/>
    </row>
    <row r="175" outlineLevel="1">
      <c r="A175" s="203">
        <v>11.0</v>
      </c>
      <c r="B175" s="255" t="str">
        <f>HYPERLINK("http://wiki.thaisamut.co.th/display/QA/QA+Defect+Logging+Guideline","Defect logging guideline")</f>
        <v>Defect logging guideline</v>
      </c>
      <c r="C175" s="74"/>
      <c r="D175" s="74"/>
      <c r="E175" s="74"/>
      <c r="F175" s="74"/>
      <c r="G175" s="74"/>
      <c r="H175" s="74"/>
    </row>
    <row r="176" outlineLevel="1">
      <c r="A176" s="203">
        <v>12.0</v>
      </c>
      <c r="B176" s="255" t="str">
        <f>HYPERLINK("http://wiki.thaisamut.co.th/pages/viewpage.action?pageId=270663848","Service Level Agreement (SLA) to turnaround fixing of reported defects/bugs")</f>
        <v>Service Level Agreement (SLA) to turnaround fixing of reported defects/bugs</v>
      </c>
      <c r="C176" s="74"/>
      <c r="D176" s="74"/>
      <c r="E176" s="74"/>
      <c r="F176" s="74"/>
      <c r="G176" s="74"/>
      <c r="H176" s="74"/>
    </row>
    <row r="177" outlineLevel="1">
      <c r="A177" s="203">
        <v>13.0</v>
      </c>
      <c r="B177" s="256" t="str">
        <f>HYPERLINK("http://wiki.thaisamut.co.th/pages/viewpage.action?pageId=485294197","Change management process")</f>
        <v>Change management process</v>
      </c>
      <c r="C177" s="74"/>
      <c r="D177" s="74"/>
      <c r="E177" s="74"/>
      <c r="F177" s="74"/>
      <c r="G177" s="74"/>
      <c r="H177" s="74"/>
    </row>
    <row r="178" outlineLevel="1">
      <c r="A178" s="257"/>
      <c r="B178" s="74"/>
      <c r="C178" s="74"/>
      <c r="D178" s="74"/>
      <c r="E178" s="74"/>
      <c r="F178" s="74"/>
      <c r="G178" s="74"/>
      <c r="H178" s="74"/>
    </row>
    <row r="179" outlineLevel="1">
      <c r="A179" s="201" t="s">
        <v>48</v>
      </c>
      <c r="B179" s="249" t="s">
        <v>312</v>
      </c>
      <c r="C179" s="74"/>
      <c r="D179" s="74"/>
      <c r="E179" s="74"/>
      <c r="F179" s="74"/>
      <c r="G179" s="74"/>
      <c r="H179" s="74"/>
    </row>
    <row r="180" outlineLevel="1">
      <c r="A180" s="203">
        <v>1.0</v>
      </c>
      <c r="B180" s="253" t="s">
        <v>313</v>
      </c>
      <c r="C180" s="74"/>
      <c r="D180" s="74"/>
      <c r="E180" s="74"/>
      <c r="F180" s="74"/>
      <c r="G180" s="74"/>
      <c r="H180" s="74"/>
    </row>
    <row r="181" outlineLevel="1">
      <c r="A181" s="203">
        <v>2.0</v>
      </c>
      <c r="B181" s="250" t="s">
        <v>307</v>
      </c>
      <c r="C181" s="74"/>
      <c r="D181" s="74"/>
      <c r="E181" s="74"/>
      <c r="F181" s="74"/>
      <c r="G181" s="74"/>
      <c r="H181" s="74"/>
    </row>
    <row r="182" outlineLevel="1">
      <c r="A182" s="203">
        <v>3.0</v>
      </c>
      <c r="B182" s="251" t="s">
        <v>314</v>
      </c>
      <c r="C182" s="74"/>
      <c r="D182" s="74"/>
      <c r="E182" s="74"/>
      <c r="F182" s="74"/>
      <c r="G182" s="74"/>
      <c r="H182" s="74"/>
    </row>
    <row r="183" outlineLevel="1">
      <c r="A183" s="258">
        <v>4.0</v>
      </c>
      <c r="B183" s="250" t="s">
        <v>315</v>
      </c>
      <c r="C183" s="74"/>
      <c r="D183" s="74"/>
      <c r="E183" s="74"/>
      <c r="F183" s="74"/>
      <c r="G183" s="74"/>
      <c r="H183" s="74"/>
    </row>
    <row r="184" outlineLevel="1">
      <c r="A184" s="257"/>
      <c r="B184" s="74"/>
      <c r="C184" s="74"/>
      <c r="D184" s="74"/>
      <c r="E184" s="74"/>
      <c r="F184" s="74"/>
      <c r="G184" s="74"/>
      <c r="H184" s="74"/>
    </row>
    <row r="185" outlineLevel="1">
      <c r="A185" s="248" t="s">
        <v>223</v>
      </c>
      <c r="B185" s="74"/>
      <c r="C185" s="74"/>
      <c r="D185" s="74"/>
      <c r="E185" s="74"/>
      <c r="F185" s="74"/>
      <c r="G185" s="74"/>
      <c r="H185" s="74"/>
    </row>
    <row r="186" outlineLevel="1">
      <c r="A186" s="198"/>
      <c r="B186" s="74"/>
      <c r="C186" s="74"/>
      <c r="D186" s="74"/>
      <c r="E186" s="74"/>
      <c r="F186" s="74"/>
      <c r="G186" s="74"/>
      <c r="H186" s="74"/>
    </row>
    <row r="187" outlineLevel="1">
      <c r="A187" s="201" t="s">
        <v>48</v>
      </c>
      <c r="B187" s="249" t="s">
        <v>302</v>
      </c>
      <c r="C187" s="74"/>
      <c r="D187" s="74"/>
      <c r="E187" s="74"/>
      <c r="F187" s="74"/>
      <c r="G187" s="74"/>
      <c r="H187" s="74"/>
    </row>
    <row r="188" outlineLevel="1">
      <c r="A188" s="203">
        <v>1.0</v>
      </c>
      <c r="B188" s="250" t="s">
        <v>303</v>
      </c>
      <c r="C188" s="74"/>
      <c r="D188" s="74"/>
      <c r="E188" s="74"/>
      <c r="F188" s="74"/>
      <c r="G188" s="74"/>
      <c r="H188" s="74"/>
    </row>
    <row r="189" outlineLevel="1">
      <c r="A189" s="203">
        <v>2.0</v>
      </c>
      <c r="B189" s="252" t="s">
        <v>304</v>
      </c>
      <c r="C189" s="74"/>
      <c r="D189" s="74"/>
      <c r="E189" s="74"/>
      <c r="F189" s="74"/>
      <c r="G189" s="74"/>
      <c r="H189" s="74"/>
    </row>
    <row r="190" outlineLevel="1">
      <c r="A190" s="203">
        <v>3.0</v>
      </c>
      <c r="B190" s="252" t="s">
        <v>316</v>
      </c>
      <c r="C190" s="74"/>
      <c r="D190" s="74"/>
      <c r="E190" s="74"/>
      <c r="F190" s="74"/>
      <c r="G190" s="74"/>
      <c r="H190" s="74"/>
    </row>
    <row r="191" outlineLevel="1">
      <c r="A191" s="203">
        <v>4.0</v>
      </c>
      <c r="B191" s="250" t="s">
        <v>305</v>
      </c>
      <c r="C191" s="74"/>
      <c r="D191" s="74"/>
      <c r="E191" s="74"/>
      <c r="F191" s="74"/>
      <c r="G191" s="74"/>
      <c r="H191" s="74"/>
    </row>
    <row r="192" outlineLevel="1">
      <c r="A192" s="203">
        <v>5.0</v>
      </c>
      <c r="B192" s="250" t="s">
        <v>307</v>
      </c>
      <c r="C192" s="74"/>
      <c r="D192" s="74"/>
      <c r="E192" s="74"/>
      <c r="F192" s="74"/>
      <c r="G192" s="74"/>
      <c r="H192" s="74"/>
    </row>
    <row r="193" outlineLevel="1">
      <c r="A193" s="203">
        <v>6.0</v>
      </c>
      <c r="B193" s="250" t="s">
        <v>308</v>
      </c>
      <c r="C193" s="74"/>
      <c r="D193" s="74"/>
      <c r="E193" s="74"/>
      <c r="F193" s="74"/>
      <c r="G193" s="74"/>
      <c r="H193" s="74"/>
    </row>
    <row r="194" outlineLevel="1">
      <c r="A194" s="203">
        <v>7.0</v>
      </c>
      <c r="B194" s="252" t="s">
        <v>309</v>
      </c>
      <c r="C194" s="74"/>
      <c r="D194" s="74"/>
      <c r="E194" s="74"/>
      <c r="F194" s="74"/>
      <c r="G194" s="74"/>
      <c r="H194" s="74"/>
    </row>
    <row r="195" outlineLevel="1">
      <c r="A195" s="203">
        <v>8.0</v>
      </c>
      <c r="B195" s="259" t="s">
        <v>317</v>
      </c>
      <c r="C195" s="74"/>
      <c r="D195" s="74"/>
      <c r="E195" s="74"/>
      <c r="F195" s="74"/>
      <c r="G195" s="74"/>
      <c r="H195" s="74"/>
    </row>
    <row r="196" outlineLevel="1">
      <c r="A196" s="203">
        <v>9.0</v>
      </c>
      <c r="B196" s="260" t="s">
        <v>311</v>
      </c>
      <c r="C196" s="74"/>
      <c r="D196" s="74"/>
      <c r="E196" s="74"/>
      <c r="F196" s="74"/>
      <c r="G196" s="74"/>
      <c r="H196" s="74"/>
    </row>
    <row r="197" outlineLevel="1">
      <c r="A197" s="257"/>
      <c r="B197" s="261" t="str">
        <f>HYPERLINK("http://wiki.thaisamut.co.th/display/QA/Priority+Definition","Priority definition")</f>
        <v>Priority definition</v>
      </c>
      <c r="C197" s="74"/>
      <c r="D197" s="74"/>
      <c r="E197" s="74"/>
      <c r="F197" s="74"/>
      <c r="G197" s="74"/>
      <c r="H197" s="74"/>
    </row>
    <row r="198" outlineLevel="1">
      <c r="A198" s="257"/>
      <c r="B198" s="255" t="str">
        <f>HYPERLINK("http://wiki.thaisamut.co.th/display/QA/QA+Defect+Logging+Guideline","Defect logging guideline")</f>
        <v>Defect logging guideline</v>
      </c>
      <c r="C198" s="74"/>
      <c r="D198" s="74"/>
      <c r="E198" s="74"/>
      <c r="F198" s="74"/>
      <c r="G198" s="74"/>
      <c r="H198" s="74"/>
    </row>
    <row r="199" outlineLevel="1">
      <c r="A199" s="257"/>
      <c r="B199" s="255" t="str">
        <f>HYPERLINK("http://wiki.thaisamut.co.th/pages/viewpage.action?pageId=270663848","Service Level Agreement (SLA) to turnaround fixing of reported defects/bugs")</f>
        <v>Service Level Agreement (SLA) to turnaround fixing of reported defects/bugs</v>
      </c>
      <c r="C199" s="74"/>
      <c r="D199" s="74"/>
      <c r="E199" s="74"/>
      <c r="F199" s="74"/>
      <c r="G199" s="74"/>
      <c r="H199" s="74"/>
    </row>
    <row r="200" outlineLevel="1">
      <c r="A200" s="257"/>
      <c r="B200" s="261" t="str">
        <f>HYPERLINK("http://wiki.thaisamut.co.th/pages/viewpage.action?pageId=485294197","Change management process")</f>
        <v>Change management process</v>
      </c>
      <c r="C200" s="74"/>
      <c r="D200" s="74"/>
      <c r="E200" s="74"/>
      <c r="F200" s="74"/>
      <c r="G200" s="74"/>
      <c r="H200" s="74"/>
    </row>
    <row r="201" outlineLevel="1">
      <c r="A201" s="262">
        <v>9.0</v>
      </c>
      <c r="B201" s="251" t="s">
        <v>318</v>
      </c>
      <c r="C201" s="74"/>
      <c r="D201" s="74"/>
      <c r="E201" s="74"/>
      <c r="F201" s="74"/>
      <c r="G201" s="74"/>
      <c r="H201" s="74"/>
    </row>
    <row r="202">
      <c r="A202" s="257"/>
      <c r="B202" s="74"/>
      <c r="C202" s="74"/>
      <c r="D202" s="74"/>
      <c r="E202" s="74"/>
      <c r="F202" s="74"/>
      <c r="G202" s="74"/>
      <c r="H202" s="74"/>
    </row>
    <row r="203">
      <c r="A203" s="263" t="s">
        <v>319</v>
      </c>
      <c r="B203" s="231"/>
      <c r="C203" s="231"/>
      <c r="D203" s="231"/>
      <c r="E203" s="231"/>
      <c r="F203" s="231"/>
      <c r="G203" s="231"/>
      <c r="H203" s="231"/>
    </row>
    <row r="204" outlineLevel="1">
      <c r="A204" s="198"/>
      <c r="B204" s="74"/>
      <c r="C204" s="74"/>
      <c r="D204" s="74"/>
      <c r="E204" s="74"/>
      <c r="F204" s="74"/>
      <c r="G204" s="74"/>
      <c r="H204" s="74"/>
    </row>
    <row r="205" outlineLevel="1">
      <c r="A205" s="201" t="s">
        <v>48</v>
      </c>
      <c r="B205" s="264" t="s">
        <v>319</v>
      </c>
      <c r="C205" s="264" t="s">
        <v>239</v>
      </c>
      <c r="D205" s="74"/>
      <c r="E205" s="74"/>
      <c r="F205" s="74"/>
      <c r="G205" s="74"/>
      <c r="H205" s="74"/>
    </row>
    <row r="206" outlineLevel="1">
      <c r="A206" s="203">
        <v>1.0</v>
      </c>
      <c r="B206" s="253" t="s">
        <v>320</v>
      </c>
      <c r="C206" s="253" t="s">
        <v>321</v>
      </c>
      <c r="D206" s="74"/>
      <c r="E206" s="74"/>
      <c r="F206" s="74"/>
      <c r="G206" s="74"/>
      <c r="H206" s="74"/>
    </row>
    <row r="207" outlineLevel="1">
      <c r="A207" s="203">
        <v>2.0</v>
      </c>
      <c r="B207" s="253" t="s">
        <v>322</v>
      </c>
      <c r="C207" s="253" t="s">
        <v>323</v>
      </c>
      <c r="D207" s="74"/>
      <c r="E207" s="74"/>
      <c r="F207" s="74"/>
      <c r="G207" s="74"/>
      <c r="H207" s="74"/>
    </row>
    <row r="208" outlineLevel="1">
      <c r="A208" s="203">
        <v>3.0</v>
      </c>
      <c r="B208" s="253" t="s">
        <v>324</v>
      </c>
      <c r="C208" s="253" t="s">
        <v>325</v>
      </c>
      <c r="D208" s="74"/>
      <c r="E208" s="74"/>
      <c r="F208" s="74"/>
      <c r="G208" s="74"/>
      <c r="H208" s="74"/>
    </row>
    <row r="209" outlineLevel="1">
      <c r="A209" s="203">
        <v>4.0</v>
      </c>
      <c r="B209" s="253" t="s">
        <v>326</v>
      </c>
      <c r="C209" s="253" t="s">
        <v>327</v>
      </c>
      <c r="D209" s="74"/>
      <c r="E209" s="74"/>
      <c r="F209" s="74"/>
      <c r="G209" s="74"/>
      <c r="H209" s="74"/>
    </row>
    <row r="210">
      <c r="A210" s="3"/>
      <c r="B210" s="3"/>
      <c r="C210" s="3"/>
      <c r="D210" s="3"/>
      <c r="E210" s="3"/>
      <c r="F210" s="3"/>
      <c r="G210" s="3"/>
      <c r="H210" s="3"/>
    </row>
    <row r="211">
      <c r="A211" s="203"/>
      <c r="B211" s="11"/>
      <c r="C211" s="11"/>
      <c r="D211" s="11"/>
      <c r="E211" s="11"/>
      <c r="F211" s="11"/>
      <c r="G211" s="11"/>
      <c r="H211" s="11"/>
    </row>
    <row r="212">
      <c r="A212" s="265" t="s">
        <v>328</v>
      </c>
      <c r="B212" s="146"/>
      <c r="C212" s="146"/>
      <c r="D212" s="146"/>
      <c r="E212" s="146"/>
      <c r="F212" s="146"/>
      <c r="G212" s="146"/>
      <c r="H212" s="146"/>
    </row>
    <row r="213">
      <c r="A213" s="266"/>
      <c r="B213" s="146"/>
      <c r="C213" s="146"/>
      <c r="D213" s="146"/>
      <c r="E213" s="146"/>
      <c r="F213" s="146"/>
      <c r="G213" s="146"/>
      <c r="H213" s="146"/>
    </row>
    <row r="214">
      <c r="A214" s="267" t="s">
        <v>329</v>
      </c>
      <c r="B214" s="146"/>
      <c r="C214" s="146"/>
      <c r="D214" s="146"/>
      <c r="E214" s="146"/>
      <c r="F214" s="146"/>
      <c r="G214" s="146"/>
      <c r="H214" s="146"/>
    </row>
    <row r="215">
      <c r="A215" s="268" t="s">
        <v>330</v>
      </c>
      <c r="B215" s="269" t="s">
        <v>331</v>
      </c>
      <c r="C215" s="146"/>
      <c r="D215" s="146"/>
      <c r="E215" s="146"/>
      <c r="F215" s="146"/>
      <c r="G215" s="146"/>
      <c r="H215" s="146"/>
    </row>
    <row r="216">
      <c r="A216" s="268" t="s">
        <v>332</v>
      </c>
      <c r="B216" s="269" t="s">
        <v>333</v>
      </c>
      <c r="C216" s="146"/>
      <c r="D216" s="146"/>
      <c r="E216" s="146"/>
      <c r="F216" s="146"/>
      <c r="G216" s="146"/>
      <c r="H216" s="146"/>
    </row>
    <row r="217">
      <c r="A217" s="268"/>
      <c r="B217" s="269"/>
      <c r="C217" s="146"/>
      <c r="D217" s="146"/>
      <c r="E217" s="146"/>
      <c r="F217" s="146"/>
      <c r="G217" s="146"/>
      <c r="H217" s="146"/>
    </row>
    <row r="218">
      <c r="A218" s="267" t="s">
        <v>334</v>
      </c>
      <c r="B218" s="267"/>
      <c r="C218" s="270"/>
      <c r="D218" s="270"/>
      <c r="E218" s="270"/>
      <c r="F218" s="270"/>
      <c r="G218" s="270"/>
      <c r="H218" s="270"/>
    </row>
    <row r="219">
      <c r="A219" s="267"/>
      <c r="B219" s="269" t="s">
        <v>335</v>
      </c>
      <c r="C219" s="270" t="s">
        <v>336</v>
      </c>
      <c r="D219" s="270"/>
      <c r="E219" s="270"/>
      <c r="F219" s="270"/>
      <c r="G219" s="270"/>
      <c r="H219" s="270"/>
    </row>
    <row r="220">
      <c r="A220" s="267"/>
      <c r="B220" s="269" t="s">
        <v>337</v>
      </c>
      <c r="C220" s="270" t="s">
        <v>338</v>
      </c>
      <c r="D220" s="270"/>
      <c r="E220" s="270"/>
      <c r="F220" s="270"/>
      <c r="G220" s="270"/>
      <c r="H220" s="270"/>
    </row>
    <row r="221">
      <c r="A221" s="2"/>
      <c r="B221" s="2"/>
      <c r="C221" s="3"/>
      <c r="D221" s="3"/>
      <c r="E221" s="3"/>
      <c r="F221" s="3"/>
      <c r="G221" s="3"/>
      <c r="H221" s="3"/>
    </row>
    <row r="222">
      <c r="A222" s="2"/>
      <c r="B222" s="2"/>
      <c r="C222" s="3"/>
      <c r="D222" s="3"/>
      <c r="E222" s="3"/>
      <c r="F222" s="3"/>
      <c r="G222" s="3"/>
      <c r="H222" s="3"/>
    </row>
    <row r="223">
      <c r="A223" s="2"/>
      <c r="B223" s="2"/>
      <c r="C223" s="3"/>
      <c r="D223" s="3"/>
      <c r="E223" s="3"/>
      <c r="F223" s="3"/>
      <c r="G223" s="3"/>
      <c r="H223" s="3"/>
    </row>
    <row r="224">
      <c r="A224" s="2"/>
      <c r="B224" s="2"/>
      <c r="C224" s="3"/>
      <c r="D224" s="3"/>
      <c r="E224" s="3"/>
      <c r="F224" s="3"/>
      <c r="G224" s="3"/>
      <c r="H224" s="3"/>
    </row>
    <row r="225">
      <c r="A225" s="2"/>
      <c r="B225" s="2"/>
      <c r="C225" s="3"/>
      <c r="D225" s="3"/>
      <c r="E225" s="3"/>
      <c r="F225" s="3"/>
      <c r="G225" s="3"/>
      <c r="H225" s="3"/>
    </row>
    <row r="226">
      <c r="A226" s="2"/>
      <c r="B226" s="2"/>
      <c r="C226" s="3"/>
      <c r="D226" s="3"/>
      <c r="E226" s="3"/>
      <c r="F226" s="3"/>
      <c r="G226" s="3"/>
      <c r="H226" s="3"/>
    </row>
    <row r="227">
      <c r="A227" s="2"/>
      <c r="B227" s="2"/>
      <c r="C227" s="3"/>
      <c r="D227" s="3"/>
      <c r="E227" s="3"/>
      <c r="F227" s="3"/>
      <c r="G227" s="3"/>
      <c r="H227" s="3"/>
    </row>
    <row r="228">
      <c r="A228" s="2"/>
      <c r="B228" s="2"/>
      <c r="C228" s="3"/>
      <c r="D228" s="3"/>
      <c r="E228" s="3"/>
      <c r="F228" s="3"/>
      <c r="G228" s="3"/>
      <c r="H228" s="3"/>
    </row>
    <row r="229">
      <c r="A229" s="2"/>
      <c r="B229" s="2"/>
      <c r="C229" s="3"/>
      <c r="D229" s="3"/>
      <c r="E229" s="3"/>
      <c r="F229" s="3"/>
      <c r="G229" s="3"/>
      <c r="H229" s="3"/>
    </row>
    <row r="230">
      <c r="A230" s="2"/>
      <c r="B230" s="2"/>
      <c r="C230" s="3"/>
      <c r="D230" s="3"/>
      <c r="E230" s="3"/>
      <c r="F230" s="3"/>
      <c r="G230" s="3"/>
      <c r="H230" s="3"/>
    </row>
  </sheetData>
  <conditionalFormatting sqref="B99">
    <cfRule type="cellIs" dxfId="7" priority="1" operator="equal">
      <formula>"Not Start"</formula>
    </cfRule>
  </conditionalFormatting>
  <conditionalFormatting sqref="B99">
    <cfRule type="cellIs" dxfId="0" priority="2" operator="equal">
      <formula>"In Progress"</formula>
    </cfRule>
  </conditionalFormatting>
  <conditionalFormatting sqref="B99">
    <cfRule type="cellIs" dxfId="8" priority="3" operator="equal">
      <formula>"Completed"</formula>
    </cfRule>
  </conditionalFormatting>
  <dataValidations>
    <dataValidation type="list" allowBlank="1" sqref="C48:C49">
      <formula1>"Impact System,Related System"</formula1>
    </dataValidation>
    <dataValidation type="list" allowBlank="1" sqref="E98:E108">
      <formula1>Var!$E$2:$E230</formula1>
    </dataValidation>
  </dataValidations>
  <hyperlinks>
    <hyperlink r:id="rId2" ref="C19"/>
    <hyperlink r:id="rId3" ref="B135"/>
    <hyperlink r:id="rId4" ref="B138"/>
    <hyperlink r:id="rId5" ref="B139"/>
    <hyperlink r:id="rId6" ref="B142"/>
    <hyperlink r:id="rId7" ref="B144"/>
    <hyperlink r:id="rId8" ref="B146"/>
    <hyperlink r:id="rId9" ref="B149"/>
    <hyperlink r:id="rId10" ref="B153"/>
    <hyperlink r:id="rId11" ref="B154"/>
    <hyperlink r:id="rId12" ref="B158"/>
  </hyperlinks>
  <drawing r:id="rId13"/>
  <legacyDrawing r:id="rId14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showGridLines="0" workbookViewId="0"/>
  </sheetViews>
  <sheetData/>
  <sheetProtection objects="1" selectLockedCells="1" selectUnlockedCells="1" sheet="1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6.0" ySplit="3.0" topLeftCell="G4" activePane="bottomRight" state="frozen"/>
      <selection activeCell="G1" sqref="G1" pane="topRight"/>
      <selection activeCell="A4" sqref="A4" pane="bottomLeft"/>
      <selection activeCell="G4" sqref="G4" pane="bottomRight"/>
    </sheetView>
  </sheetViews>
  <sheetFormatPr customHeight="1" defaultColWidth="12.63" defaultRowHeight="15.0" outlineLevelRow="2"/>
  <cols>
    <col customWidth="1" min="1" max="1" width="8.13"/>
    <col customWidth="1" min="2" max="2" width="9.38"/>
    <col customWidth="1" min="3" max="3" width="11.0"/>
    <col customWidth="1" min="4" max="4" width="22.5"/>
    <col customWidth="1" min="5" max="5" width="16.0"/>
    <col customWidth="1" min="6" max="6" width="60.25"/>
    <col customWidth="1" min="7" max="7" width="23.5"/>
    <col customWidth="1" min="8" max="8" width="33.88"/>
    <col customWidth="1" min="9" max="9" width="57.38"/>
    <col customWidth="1" min="10" max="10" width="22.63"/>
    <col customWidth="1" min="11" max="11" width="17.5"/>
    <col customWidth="1" min="12" max="13" width="13.88"/>
    <col customWidth="1" min="14" max="14" width="23.0"/>
    <col customWidth="1" min="15" max="15" width="14.5"/>
    <col customWidth="1" min="16" max="16" width="11.13"/>
    <col customWidth="1" min="17" max="17" width="37.5"/>
  </cols>
  <sheetData>
    <row r="1">
      <c r="A1" s="271" t="s">
        <v>339</v>
      </c>
      <c r="B1" s="272"/>
      <c r="C1" s="273"/>
      <c r="D1" s="274"/>
      <c r="E1" s="274"/>
      <c r="F1" s="272"/>
      <c r="G1" s="274"/>
      <c r="H1" s="273"/>
      <c r="I1" s="273"/>
      <c r="J1" s="275"/>
      <c r="K1" s="273"/>
      <c r="L1" s="273"/>
      <c r="M1" s="273"/>
      <c r="N1" s="273"/>
      <c r="O1" s="276"/>
      <c r="P1" s="277"/>
      <c r="Q1" s="273"/>
    </row>
    <row r="2">
      <c r="A2" s="278"/>
      <c r="B2" s="79"/>
      <c r="C2" s="79"/>
      <c r="D2" s="79"/>
      <c r="E2" s="79"/>
      <c r="F2" s="79"/>
      <c r="G2" s="79"/>
      <c r="H2" s="79"/>
      <c r="I2" s="79"/>
      <c r="J2" s="279"/>
      <c r="K2" s="79"/>
      <c r="L2" s="79"/>
      <c r="M2" s="79"/>
      <c r="N2" s="280"/>
      <c r="O2" s="281"/>
      <c r="P2" s="280"/>
      <c r="Q2" s="280"/>
    </row>
    <row r="3">
      <c r="A3" s="282" t="s">
        <v>69</v>
      </c>
      <c r="B3" s="283" t="s">
        <v>340</v>
      </c>
      <c r="C3" s="284" t="s">
        <v>9</v>
      </c>
      <c r="D3" s="284" t="s">
        <v>341</v>
      </c>
      <c r="E3" s="285" t="s">
        <v>342</v>
      </c>
      <c r="F3" s="283" t="s">
        <v>343</v>
      </c>
      <c r="G3" s="283" t="s">
        <v>344</v>
      </c>
      <c r="H3" s="283" t="s">
        <v>345</v>
      </c>
      <c r="I3" s="285" t="s">
        <v>346</v>
      </c>
      <c r="J3" s="286" t="s">
        <v>347</v>
      </c>
      <c r="K3" s="285" t="s">
        <v>70</v>
      </c>
      <c r="L3" s="283" t="s">
        <v>348</v>
      </c>
      <c r="M3" s="285" t="s">
        <v>349</v>
      </c>
      <c r="N3" s="287" t="s">
        <v>350</v>
      </c>
      <c r="O3" s="284" t="s">
        <v>351</v>
      </c>
      <c r="P3" s="288" t="s">
        <v>352</v>
      </c>
      <c r="Q3" s="287" t="s">
        <v>55</v>
      </c>
    </row>
    <row r="4">
      <c r="A4" s="289"/>
      <c r="B4" s="290" t="s">
        <v>353</v>
      </c>
      <c r="C4" s="291"/>
      <c r="D4" s="292"/>
      <c r="E4" s="293"/>
      <c r="F4" s="294" t="s">
        <v>354</v>
      </c>
      <c r="G4" s="295"/>
      <c r="H4" s="292"/>
      <c r="I4" s="296"/>
      <c r="J4" s="297"/>
      <c r="K4" s="298"/>
      <c r="L4" s="298"/>
      <c r="M4" s="298"/>
      <c r="N4" s="291"/>
      <c r="O4" s="299"/>
      <c r="P4" s="291"/>
      <c r="Q4" s="291"/>
    </row>
    <row r="5" outlineLevel="1" collapsed="1">
      <c r="A5" s="300"/>
      <c r="B5" s="301" t="s">
        <v>355</v>
      </c>
      <c r="E5" s="302"/>
      <c r="F5" s="302"/>
      <c r="G5" s="302"/>
      <c r="H5" s="303"/>
      <c r="I5" s="302"/>
      <c r="J5" s="304"/>
      <c r="K5" s="305"/>
      <c r="L5" s="306"/>
      <c r="M5" s="305"/>
      <c r="N5" s="307"/>
      <c r="O5" s="308"/>
      <c r="P5" s="309"/>
      <c r="Q5" s="309"/>
    </row>
    <row r="6" hidden="1" outlineLevel="2">
      <c r="A6" s="310"/>
      <c r="B6" s="233" t="s">
        <v>356</v>
      </c>
      <c r="C6" s="311" t="s">
        <v>14</v>
      </c>
      <c r="D6" s="311" t="s">
        <v>353</v>
      </c>
      <c r="E6" s="12" t="s">
        <v>357</v>
      </c>
      <c r="F6" s="12" t="s">
        <v>358</v>
      </c>
      <c r="G6" s="12"/>
      <c r="H6" s="312" t="s">
        <v>359</v>
      </c>
      <c r="I6" s="12" t="s">
        <v>360</v>
      </c>
      <c r="J6" s="313"/>
      <c r="K6" s="314" t="str">
        <f t="array" ref="K6">IF(D6="", "", IFERROR(XLOOKUP(D6, Var!$P:$P, Var!$Q:$Q), ""))</f>
        <v>Feature Priority 1</v>
      </c>
      <c r="L6" s="315" t="s">
        <v>80</v>
      </c>
      <c r="M6" s="316" t="s">
        <v>60</v>
      </c>
      <c r="N6" s="317" t="s">
        <v>90</v>
      </c>
      <c r="O6" s="318">
        <v>46204.0</v>
      </c>
      <c r="P6" s="79"/>
      <c r="Q6" s="319" t="s">
        <v>361</v>
      </c>
    </row>
    <row r="7" hidden="1" outlineLevel="2">
      <c r="A7" s="310"/>
      <c r="B7" s="233" t="s">
        <v>362</v>
      </c>
      <c r="C7" s="311" t="s">
        <v>14</v>
      </c>
      <c r="D7" s="311" t="s">
        <v>353</v>
      </c>
      <c r="E7" s="12" t="s">
        <v>357</v>
      </c>
      <c r="F7" s="12" t="s">
        <v>363</v>
      </c>
      <c r="G7" s="12"/>
      <c r="H7" s="312"/>
      <c r="I7" s="12" t="s">
        <v>364</v>
      </c>
      <c r="J7" s="313"/>
      <c r="K7" s="314" t="str">
        <f t="array" ref="K7">IF(D7="", "", IFERROR(XLOOKUP(D7, Var!$P:$P, Var!$Q:$Q), ""))</f>
        <v>Feature Priority 1</v>
      </c>
      <c r="L7" s="315" t="s">
        <v>80</v>
      </c>
      <c r="M7" s="316" t="s">
        <v>60</v>
      </c>
      <c r="N7" s="317" t="s">
        <v>90</v>
      </c>
      <c r="O7" s="318">
        <v>46204.0</v>
      </c>
      <c r="P7" s="79"/>
      <c r="Q7" s="311"/>
    </row>
    <row r="8" hidden="1" outlineLevel="2">
      <c r="A8" s="310"/>
      <c r="B8" s="233" t="s">
        <v>365</v>
      </c>
      <c r="C8" s="311" t="s">
        <v>14</v>
      </c>
      <c r="D8" s="311" t="s">
        <v>353</v>
      </c>
      <c r="E8" s="12" t="s">
        <v>357</v>
      </c>
      <c r="F8" s="12" t="s">
        <v>366</v>
      </c>
      <c r="G8" s="320" t="s">
        <v>367</v>
      </c>
      <c r="H8" s="321" t="s">
        <v>368</v>
      </c>
      <c r="I8" s="12" t="s">
        <v>369</v>
      </c>
      <c r="J8" s="12"/>
      <c r="K8" s="314" t="str">
        <f t="array" ref="K8">IF(D8="", "", IFERROR(XLOOKUP(D8, Var!$P:$P, Var!$Q:$Q), ""))</f>
        <v>Feature Priority 1</v>
      </c>
      <c r="L8" s="315" t="s">
        <v>80</v>
      </c>
      <c r="M8" s="316" t="s">
        <v>60</v>
      </c>
      <c r="N8" s="317" t="s">
        <v>90</v>
      </c>
      <c r="O8" s="318">
        <v>46204.0</v>
      </c>
      <c r="P8" s="79"/>
      <c r="Q8" s="79"/>
    </row>
    <row r="9" hidden="1" outlineLevel="2">
      <c r="A9" s="310"/>
      <c r="B9" s="233" t="s">
        <v>370</v>
      </c>
      <c r="C9" s="311" t="s">
        <v>14</v>
      </c>
      <c r="D9" s="311" t="s">
        <v>353</v>
      </c>
      <c r="E9" s="12" t="s">
        <v>357</v>
      </c>
      <c r="G9" s="320" t="s">
        <v>371</v>
      </c>
      <c r="H9" s="321" t="s">
        <v>368</v>
      </c>
      <c r="I9" s="12" t="s">
        <v>372</v>
      </c>
      <c r="J9" s="12"/>
      <c r="K9" s="314" t="str">
        <f t="array" ref="K9">IF(D9="", "", IFERROR(XLOOKUP(D9, Var!$P:$P, Var!$Q:$Q), ""))</f>
        <v>Feature Priority 1</v>
      </c>
      <c r="L9" s="315" t="s">
        <v>80</v>
      </c>
      <c r="M9" s="316" t="s">
        <v>60</v>
      </c>
      <c r="N9" s="317" t="s">
        <v>90</v>
      </c>
      <c r="O9" s="318">
        <v>46204.0</v>
      </c>
      <c r="P9" s="79"/>
      <c r="Q9" s="79"/>
    </row>
    <row r="10" hidden="1" outlineLevel="2">
      <c r="A10" s="310"/>
      <c r="B10" s="233" t="s">
        <v>373</v>
      </c>
      <c r="C10" s="311" t="s">
        <v>14</v>
      </c>
      <c r="D10" s="311" t="s">
        <v>353</v>
      </c>
      <c r="E10" s="12" t="s">
        <v>357</v>
      </c>
      <c r="F10" s="12" t="s">
        <v>374</v>
      </c>
      <c r="G10" s="320" t="s">
        <v>367</v>
      </c>
      <c r="H10" s="321" t="s">
        <v>368</v>
      </c>
      <c r="I10" s="12" t="s">
        <v>375</v>
      </c>
      <c r="J10" s="12"/>
      <c r="K10" s="314" t="str">
        <f t="array" ref="K10">IF(D10="", "", IFERROR(XLOOKUP(D10, Var!$P:$P, Var!$Q:$Q), ""))</f>
        <v>Feature Priority 1</v>
      </c>
      <c r="L10" s="315" t="s">
        <v>80</v>
      </c>
      <c r="M10" s="316" t="s">
        <v>60</v>
      </c>
      <c r="N10" s="317" t="s">
        <v>90</v>
      </c>
      <c r="O10" s="318">
        <v>46204.0</v>
      </c>
      <c r="P10" s="79"/>
      <c r="Q10" s="79"/>
    </row>
    <row r="11" hidden="1" outlineLevel="2">
      <c r="A11" s="310"/>
      <c r="B11" s="233" t="s">
        <v>376</v>
      </c>
      <c r="C11" s="311" t="s">
        <v>14</v>
      </c>
      <c r="D11" s="311" t="s">
        <v>353</v>
      </c>
      <c r="E11" s="12" t="s">
        <v>357</v>
      </c>
      <c r="G11" s="320" t="s">
        <v>371</v>
      </c>
      <c r="H11" s="321" t="s">
        <v>368</v>
      </c>
      <c r="I11" s="12" t="s">
        <v>377</v>
      </c>
      <c r="J11" s="12"/>
      <c r="K11" s="314" t="str">
        <f t="array" ref="K11">IF(D11="", "", IFERROR(XLOOKUP(D11, Var!$P:$P, Var!$Q:$Q), ""))</f>
        <v>Feature Priority 1</v>
      </c>
      <c r="L11" s="315" t="s">
        <v>80</v>
      </c>
      <c r="M11" s="316" t="s">
        <v>60</v>
      </c>
      <c r="N11" s="317" t="s">
        <v>90</v>
      </c>
      <c r="O11" s="318">
        <v>46204.0</v>
      </c>
      <c r="P11" s="79"/>
      <c r="Q11" s="79"/>
    </row>
    <row r="12" hidden="1" outlineLevel="2">
      <c r="A12" s="310"/>
      <c r="B12" s="233" t="s">
        <v>378</v>
      </c>
      <c r="C12" s="311" t="s">
        <v>14</v>
      </c>
      <c r="D12" s="311" t="s">
        <v>353</v>
      </c>
      <c r="E12" s="12" t="s">
        <v>357</v>
      </c>
      <c r="F12" s="12" t="s">
        <v>379</v>
      </c>
      <c r="G12" s="320" t="s">
        <v>367</v>
      </c>
      <c r="H12" s="321" t="s">
        <v>368</v>
      </c>
      <c r="I12" s="12" t="s">
        <v>380</v>
      </c>
      <c r="J12" s="12"/>
      <c r="K12" s="314" t="str">
        <f t="array" ref="K12">IF(D12="", "", IFERROR(XLOOKUP(D12, Var!$P:$P, Var!$Q:$Q), ""))</f>
        <v>Feature Priority 1</v>
      </c>
      <c r="L12" s="315" t="s">
        <v>80</v>
      </c>
      <c r="M12" s="316" t="s">
        <v>60</v>
      </c>
      <c r="N12" s="317" t="s">
        <v>90</v>
      </c>
      <c r="O12" s="318">
        <v>46204.0</v>
      </c>
      <c r="P12" s="79"/>
      <c r="Q12" s="79"/>
    </row>
    <row r="13" hidden="1" outlineLevel="2">
      <c r="A13" s="310"/>
      <c r="B13" s="233" t="s">
        <v>381</v>
      </c>
      <c r="C13" s="311" t="s">
        <v>14</v>
      </c>
      <c r="D13" s="311" t="s">
        <v>353</v>
      </c>
      <c r="E13" s="12" t="s">
        <v>357</v>
      </c>
      <c r="G13" s="320" t="s">
        <v>371</v>
      </c>
      <c r="H13" s="321" t="s">
        <v>368</v>
      </c>
      <c r="I13" s="12" t="s">
        <v>382</v>
      </c>
      <c r="J13" s="12"/>
      <c r="K13" s="314" t="str">
        <f t="array" ref="K13">IF(D13="", "", IFERROR(XLOOKUP(D13, Var!$P:$P, Var!$Q:$Q), ""))</f>
        <v>Feature Priority 1</v>
      </c>
      <c r="L13" s="315" t="s">
        <v>80</v>
      </c>
      <c r="M13" s="316" t="s">
        <v>60</v>
      </c>
      <c r="N13" s="317" t="s">
        <v>90</v>
      </c>
      <c r="O13" s="318">
        <v>46204.0</v>
      </c>
      <c r="P13" s="79"/>
      <c r="Q13" s="79"/>
    </row>
    <row r="14" hidden="1" outlineLevel="2">
      <c r="A14" s="310"/>
      <c r="B14" s="233" t="s">
        <v>383</v>
      </c>
      <c r="C14" s="311" t="s">
        <v>14</v>
      </c>
      <c r="D14" s="311" t="s">
        <v>353</v>
      </c>
      <c r="E14" s="12" t="s">
        <v>357</v>
      </c>
      <c r="F14" s="12" t="s">
        <v>384</v>
      </c>
      <c r="G14" s="320" t="s">
        <v>367</v>
      </c>
      <c r="H14" s="321" t="s">
        <v>368</v>
      </c>
      <c r="I14" s="12" t="s">
        <v>385</v>
      </c>
      <c r="J14" s="12"/>
      <c r="K14" s="314" t="str">
        <f t="array" ref="K14">IF(D14="", "", IFERROR(XLOOKUP(D14, Var!$P:$P, Var!$Q:$Q), ""))</f>
        <v>Feature Priority 1</v>
      </c>
      <c r="L14" s="315" t="s">
        <v>80</v>
      </c>
      <c r="M14" s="316" t="s">
        <v>60</v>
      </c>
      <c r="N14" s="317" t="s">
        <v>90</v>
      </c>
      <c r="O14" s="318">
        <v>46204.0</v>
      </c>
      <c r="P14" s="79"/>
      <c r="Q14" s="79"/>
    </row>
    <row r="15" hidden="1" outlineLevel="2">
      <c r="A15" s="310"/>
      <c r="B15" s="233" t="s">
        <v>386</v>
      </c>
      <c r="C15" s="311" t="s">
        <v>14</v>
      </c>
      <c r="D15" s="311" t="s">
        <v>353</v>
      </c>
      <c r="E15" s="12" t="s">
        <v>357</v>
      </c>
      <c r="G15" s="320" t="s">
        <v>371</v>
      </c>
      <c r="H15" s="321" t="s">
        <v>368</v>
      </c>
      <c r="I15" s="12" t="s">
        <v>387</v>
      </c>
      <c r="J15" s="12"/>
      <c r="K15" s="314" t="str">
        <f t="array" ref="K15">IF(D15="", "", IFERROR(XLOOKUP(D15, Var!$P:$P, Var!$Q:$Q), ""))</f>
        <v>Feature Priority 1</v>
      </c>
      <c r="L15" s="315" t="s">
        <v>80</v>
      </c>
      <c r="M15" s="316" t="s">
        <v>60</v>
      </c>
      <c r="N15" s="317" t="s">
        <v>90</v>
      </c>
      <c r="O15" s="318">
        <v>46204.0</v>
      </c>
      <c r="P15" s="79"/>
      <c r="Q15" s="79"/>
    </row>
    <row r="16" hidden="1" outlineLevel="2">
      <c r="A16" s="310"/>
      <c r="B16" s="233" t="s">
        <v>388</v>
      </c>
      <c r="C16" s="311" t="s">
        <v>14</v>
      </c>
      <c r="D16" s="311" t="s">
        <v>353</v>
      </c>
      <c r="E16" s="12" t="s">
        <v>357</v>
      </c>
      <c r="F16" s="12" t="s">
        <v>389</v>
      </c>
      <c r="G16" s="320" t="s">
        <v>367</v>
      </c>
      <c r="H16" s="321" t="s">
        <v>368</v>
      </c>
      <c r="I16" s="12" t="s">
        <v>390</v>
      </c>
      <c r="J16" s="12"/>
      <c r="K16" s="314" t="str">
        <f t="array" ref="K16">IF(D16="", "", IFERROR(XLOOKUP(D16, Var!$P:$P, Var!$Q:$Q), ""))</f>
        <v>Feature Priority 1</v>
      </c>
      <c r="L16" s="315" t="s">
        <v>80</v>
      </c>
      <c r="M16" s="316" t="s">
        <v>60</v>
      </c>
      <c r="N16" s="317" t="s">
        <v>90</v>
      </c>
      <c r="O16" s="318">
        <v>46204.0</v>
      </c>
      <c r="P16" s="79"/>
      <c r="Q16" s="79"/>
    </row>
    <row r="17" hidden="1" outlineLevel="2">
      <c r="A17" s="310"/>
      <c r="B17" s="233" t="s">
        <v>391</v>
      </c>
      <c r="C17" s="311" t="s">
        <v>14</v>
      </c>
      <c r="D17" s="311" t="s">
        <v>353</v>
      </c>
      <c r="E17" s="12" t="s">
        <v>357</v>
      </c>
      <c r="G17" s="320" t="s">
        <v>371</v>
      </c>
      <c r="H17" s="321" t="s">
        <v>368</v>
      </c>
      <c r="I17" s="12" t="s">
        <v>392</v>
      </c>
      <c r="J17" s="12"/>
      <c r="K17" s="314" t="str">
        <f t="array" ref="K17">IF(D17="", "", IFERROR(XLOOKUP(D17, Var!$P:$P, Var!$Q:$Q), ""))</f>
        <v>Feature Priority 1</v>
      </c>
      <c r="L17" s="315" t="s">
        <v>80</v>
      </c>
      <c r="M17" s="316" t="s">
        <v>60</v>
      </c>
      <c r="N17" s="317" t="s">
        <v>90</v>
      </c>
      <c r="O17" s="318">
        <v>46204.0</v>
      </c>
      <c r="P17" s="79"/>
      <c r="Q17" s="79"/>
    </row>
    <row r="18" hidden="1" outlineLevel="2">
      <c r="A18" s="310"/>
      <c r="B18" s="233" t="s">
        <v>393</v>
      </c>
      <c r="C18" s="311" t="s">
        <v>14</v>
      </c>
      <c r="D18" s="311" t="s">
        <v>353</v>
      </c>
      <c r="E18" s="12" t="s">
        <v>357</v>
      </c>
      <c r="F18" s="12" t="s">
        <v>394</v>
      </c>
      <c r="G18" s="320" t="s">
        <v>367</v>
      </c>
      <c r="H18" s="321" t="s">
        <v>368</v>
      </c>
      <c r="I18" s="12" t="s">
        <v>395</v>
      </c>
      <c r="J18" s="12"/>
      <c r="K18" s="314" t="str">
        <f t="array" ref="K18">IF(D18="", "", IFERROR(XLOOKUP(D18, Var!$P:$P, Var!$Q:$Q), ""))</f>
        <v>Feature Priority 1</v>
      </c>
      <c r="L18" s="315" t="s">
        <v>80</v>
      </c>
      <c r="M18" s="316" t="s">
        <v>60</v>
      </c>
      <c r="N18" s="317" t="s">
        <v>90</v>
      </c>
      <c r="O18" s="318">
        <v>46204.0</v>
      </c>
      <c r="P18" s="79"/>
      <c r="Q18" s="79"/>
    </row>
    <row r="19" outlineLevel="1">
      <c r="A19" s="300"/>
      <c r="B19" s="301" t="s">
        <v>396</v>
      </c>
      <c r="E19" s="302"/>
      <c r="F19" s="302"/>
      <c r="G19" s="302"/>
      <c r="H19" s="303"/>
      <c r="I19" s="302"/>
      <c r="J19" s="304"/>
      <c r="K19" s="305"/>
      <c r="L19" s="306"/>
      <c r="M19" s="305"/>
      <c r="N19" s="307"/>
      <c r="O19" s="308"/>
      <c r="P19" s="309"/>
      <c r="Q19" s="309"/>
    </row>
    <row r="20" outlineLevel="2">
      <c r="A20" s="310"/>
      <c r="B20" s="233" t="s">
        <v>397</v>
      </c>
      <c r="C20" s="311" t="s">
        <v>14</v>
      </c>
      <c r="D20" s="311" t="s">
        <v>353</v>
      </c>
      <c r="E20" s="12" t="s">
        <v>357</v>
      </c>
      <c r="F20" s="12" t="s">
        <v>398</v>
      </c>
      <c r="G20" s="12"/>
      <c r="H20" s="321" t="s">
        <v>368</v>
      </c>
      <c r="I20" s="12" t="s">
        <v>399</v>
      </c>
      <c r="J20" s="322" t="s">
        <v>400</v>
      </c>
      <c r="K20" s="314" t="str">
        <f t="array" ref="K20">IF(D20="", "", IFERROR(XLOOKUP(D20, Var!$P:$P, Var!$Q:$Q), ""))</f>
        <v>Feature Priority 1</v>
      </c>
      <c r="L20" s="315" t="s">
        <v>80</v>
      </c>
      <c r="M20" s="316" t="s">
        <v>60</v>
      </c>
      <c r="N20" s="317" t="s">
        <v>90</v>
      </c>
      <c r="O20" s="318">
        <v>46204.0</v>
      </c>
      <c r="P20" s="79"/>
      <c r="Q20" s="79"/>
    </row>
    <row r="21" outlineLevel="2">
      <c r="A21" s="310"/>
      <c r="B21" s="233" t="s">
        <v>401</v>
      </c>
      <c r="C21" s="311" t="s">
        <v>14</v>
      </c>
      <c r="D21" s="311" t="s">
        <v>353</v>
      </c>
      <c r="E21" s="12" t="s">
        <v>357</v>
      </c>
      <c r="F21" s="12" t="s">
        <v>402</v>
      </c>
      <c r="G21" s="12"/>
      <c r="H21" s="321"/>
      <c r="I21" s="12" t="s">
        <v>403</v>
      </c>
      <c r="J21" s="12"/>
      <c r="K21" s="314" t="str">
        <f t="array" ref="K21">IF(D21="", "", IFERROR(XLOOKUP(D21, Var!$P:$P, Var!$Q:$Q), ""))</f>
        <v>Feature Priority 1</v>
      </c>
      <c r="L21" s="315" t="s">
        <v>80</v>
      </c>
      <c r="M21" s="316" t="s">
        <v>60</v>
      </c>
      <c r="N21" s="317" t="s">
        <v>90</v>
      </c>
      <c r="O21" s="318">
        <v>46204.0</v>
      </c>
      <c r="P21" s="79"/>
      <c r="Q21" s="311" t="s">
        <v>404</v>
      </c>
    </row>
    <row r="22" outlineLevel="2">
      <c r="A22" s="310"/>
      <c r="B22" s="233" t="s">
        <v>405</v>
      </c>
      <c r="C22" s="311" t="s">
        <v>14</v>
      </c>
      <c r="D22" s="311" t="s">
        <v>353</v>
      </c>
      <c r="E22" s="12" t="s">
        <v>357</v>
      </c>
      <c r="F22" s="12" t="s">
        <v>406</v>
      </c>
      <c r="G22" s="12"/>
      <c r="H22" s="312"/>
      <c r="I22" s="12" t="s">
        <v>407</v>
      </c>
      <c r="J22" s="12"/>
      <c r="K22" s="314" t="str">
        <f t="array" ref="K22">IF(D22="", "", IFERROR(XLOOKUP(D22, Var!$P:$P, Var!$Q:$Q), ""))</f>
        <v>Feature Priority 1</v>
      </c>
      <c r="L22" s="315" t="s">
        <v>80</v>
      </c>
      <c r="M22" s="316" t="s">
        <v>60</v>
      </c>
      <c r="N22" s="317" t="s">
        <v>90</v>
      </c>
      <c r="O22" s="318">
        <v>46203.0</v>
      </c>
      <c r="P22" s="79"/>
      <c r="Q22" s="79"/>
    </row>
    <row r="23" outlineLevel="2">
      <c r="A23" s="310"/>
      <c r="B23" s="233" t="s">
        <v>408</v>
      </c>
      <c r="C23" s="311" t="s">
        <v>14</v>
      </c>
      <c r="D23" s="311" t="s">
        <v>353</v>
      </c>
      <c r="E23" s="12" t="s">
        <v>357</v>
      </c>
      <c r="F23" s="12" t="s">
        <v>409</v>
      </c>
      <c r="G23" s="12"/>
      <c r="H23" s="312"/>
      <c r="I23" s="12" t="s">
        <v>410</v>
      </c>
      <c r="J23" s="12"/>
      <c r="K23" s="314" t="str">
        <f t="array" ref="K23">IF(D23="", "", IFERROR(XLOOKUP(D23, Var!$P:$P, Var!$Q:$Q), ""))</f>
        <v>Feature Priority 1</v>
      </c>
      <c r="L23" s="315" t="s">
        <v>80</v>
      </c>
      <c r="M23" s="316" t="s">
        <v>60</v>
      </c>
      <c r="N23" s="317" t="s">
        <v>90</v>
      </c>
      <c r="O23" s="318">
        <v>46203.0</v>
      </c>
      <c r="P23" s="79"/>
      <c r="Q23" s="79"/>
    </row>
    <row r="24" outlineLevel="2">
      <c r="A24" s="310"/>
      <c r="B24" s="233" t="s">
        <v>411</v>
      </c>
      <c r="C24" s="311" t="s">
        <v>14</v>
      </c>
      <c r="D24" s="311" t="s">
        <v>353</v>
      </c>
      <c r="E24" s="12" t="s">
        <v>357</v>
      </c>
      <c r="F24" s="12" t="s">
        <v>412</v>
      </c>
      <c r="G24" s="12"/>
      <c r="H24" s="312"/>
      <c r="I24" s="12" t="s">
        <v>413</v>
      </c>
      <c r="J24" s="12"/>
      <c r="K24" s="314" t="str">
        <f t="array" ref="K24">IF(D24="", "", IFERROR(XLOOKUP(D24, Var!$P:$P, Var!$Q:$Q), ""))</f>
        <v>Feature Priority 1</v>
      </c>
      <c r="L24" s="315" t="s">
        <v>80</v>
      </c>
      <c r="M24" s="316" t="s">
        <v>60</v>
      </c>
      <c r="N24" s="317" t="s">
        <v>90</v>
      </c>
      <c r="O24" s="318">
        <v>46205.0</v>
      </c>
      <c r="P24" s="79"/>
      <c r="Q24" s="79"/>
    </row>
    <row r="25">
      <c r="A25" s="289"/>
      <c r="B25" s="290" t="s">
        <v>414</v>
      </c>
      <c r="C25" s="291"/>
      <c r="D25" s="292"/>
      <c r="E25" s="293"/>
      <c r="F25" s="294" t="s">
        <v>415</v>
      </c>
      <c r="G25" s="323"/>
      <c r="H25" s="292"/>
      <c r="I25" s="292"/>
      <c r="J25" s="297"/>
      <c r="K25" s="298"/>
      <c r="L25" s="298"/>
      <c r="M25" s="298"/>
      <c r="N25" s="291"/>
      <c r="O25" s="299"/>
      <c r="P25" s="291"/>
      <c r="Q25" s="291"/>
    </row>
    <row r="26" collapsed="1">
      <c r="A26" s="300"/>
      <c r="B26" s="301" t="s">
        <v>416</v>
      </c>
      <c r="E26" s="302"/>
      <c r="F26" s="302"/>
      <c r="G26" s="302"/>
      <c r="H26" s="303"/>
      <c r="I26" s="302"/>
      <c r="J26" s="304"/>
      <c r="K26" s="305"/>
      <c r="L26" s="306"/>
      <c r="M26" s="305"/>
      <c r="N26" s="307"/>
      <c r="O26" s="308"/>
      <c r="P26" s="309"/>
      <c r="Q26" s="309"/>
    </row>
    <row r="27" hidden="1" outlineLevel="1">
      <c r="A27" s="310"/>
      <c r="B27" s="233" t="s">
        <v>417</v>
      </c>
      <c r="C27" s="311" t="s">
        <v>14</v>
      </c>
      <c r="D27" s="311" t="s">
        <v>414</v>
      </c>
      <c r="E27" s="12" t="s">
        <v>357</v>
      </c>
      <c r="F27" s="12" t="s">
        <v>418</v>
      </c>
      <c r="G27" s="320" t="s">
        <v>367</v>
      </c>
      <c r="H27" s="312" t="s">
        <v>419</v>
      </c>
      <c r="I27" s="12" t="s">
        <v>420</v>
      </c>
      <c r="J27" s="313"/>
      <c r="K27" s="314" t="str">
        <f t="array" ref="K27">IF(D27="", "", IFERROR(XLOOKUP(D27, Var!$P:$P, Var!$Q:$Q), ""))</f>
        <v>Feature Priority 1</v>
      </c>
      <c r="L27" s="315" t="s">
        <v>80</v>
      </c>
      <c r="M27" s="316" t="s">
        <v>60</v>
      </c>
      <c r="N27" s="317" t="s">
        <v>90</v>
      </c>
      <c r="O27" s="318">
        <v>46205.0</v>
      </c>
      <c r="P27" s="79"/>
      <c r="Q27" s="79"/>
    </row>
    <row r="28" hidden="1" outlineLevel="1">
      <c r="A28" s="310"/>
      <c r="B28" s="233" t="s">
        <v>421</v>
      </c>
      <c r="C28" s="311" t="s">
        <v>14</v>
      </c>
      <c r="D28" s="311" t="s">
        <v>414</v>
      </c>
      <c r="E28" s="12" t="s">
        <v>357</v>
      </c>
      <c r="G28" s="320" t="s">
        <v>371</v>
      </c>
      <c r="H28" s="312" t="s">
        <v>422</v>
      </c>
      <c r="I28" s="12" t="s">
        <v>423</v>
      </c>
      <c r="J28" s="12"/>
      <c r="K28" s="314" t="str">
        <f t="array" ref="K28">IF(D28="", "", IFERROR(XLOOKUP(D28, Var!$P:$P, Var!$Q:$Q), ""))</f>
        <v>Feature Priority 1</v>
      </c>
      <c r="L28" s="315" t="s">
        <v>80</v>
      </c>
      <c r="M28" s="316" t="s">
        <v>60</v>
      </c>
      <c r="N28" s="317" t="s">
        <v>90</v>
      </c>
      <c r="O28" s="318">
        <v>46205.0</v>
      </c>
      <c r="P28" s="79"/>
      <c r="Q28" s="79"/>
    </row>
    <row r="29" hidden="1" outlineLevel="1">
      <c r="A29" s="310"/>
      <c r="B29" s="233" t="s">
        <v>424</v>
      </c>
      <c r="C29" s="311" t="s">
        <v>14</v>
      </c>
      <c r="D29" s="311" t="s">
        <v>414</v>
      </c>
      <c r="E29" s="12" t="s">
        <v>357</v>
      </c>
      <c r="F29" s="12" t="s">
        <v>425</v>
      </c>
      <c r="G29" s="320" t="s">
        <v>367</v>
      </c>
      <c r="H29" s="312" t="s">
        <v>426</v>
      </c>
      <c r="I29" s="12" t="s">
        <v>427</v>
      </c>
      <c r="J29" s="313"/>
      <c r="K29" s="314" t="str">
        <f t="array" ref="K29">IF(D29="", "", IFERROR(XLOOKUP(D29, Var!$P:$P, Var!$Q:$Q), ""))</f>
        <v>Feature Priority 1</v>
      </c>
      <c r="L29" s="315" t="s">
        <v>80</v>
      </c>
      <c r="M29" s="316" t="s">
        <v>60</v>
      </c>
      <c r="N29" s="317" t="s">
        <v>90</v>
      </c>
      <c r="O29" s="318">
        <v>46205.0</v>
      </c>
      <c r="P29" s="79"/>
      <c r="Q29" s="79"/>
    </row>
    <row r="30" hidden="1" outlineLevel="1">
      <c r="A30" s="310"/>
      <c r="B30" s="233" t="s">
        <v>428</v>
      </c>
      <c r="C30" s="311" t="s">
        <v>14</v>
      </c>
      <c r="D30" s="311" t="s">
        <v>414</v>
      </c>
      <c r="E30" s="12" t="s">
        <v>357</v>
      </c>
      <c r="G30" s="320" t="s">
        <v>371</v>
      </c>
      <c r="H30" s="312" t="s">
        <v>429</v>
      </c>
      <c r="I30" s="12" t="s">
        <v>430</v>
      </c>
      <c r="J30" s="12"/>
      <c r="K30" s="314" t="str">
        <f t="array" ref="K30">IF(D30="", "", IFERROR(XLOOKUP(D30, Var!$P:$P, Var!$Q:$Q), ""))</f>
        <v>Feature Priority 1</v>
      </c>
      <c r="L30" s="315" t="s">
        <v>80</v>
      </c>
      <c r="M30" s="316" t="s">
        <v>60</v>
      </c>
      <c r="N30" s="317" t="s">
        <v>90</v>
      </c>
      <c r="O30" s="318">
        <v>46205.0</v>
      </c>
      <c r="P30" s="79"/>
      <c r="Q30" s="79"/>
    </row>
    <row r="31" hidden="1" outlineLevel="1">
      <c r="A31" s="310"/>
      <c r="B31" s="233" t="s">
        <v>431</v>
      </c>
      <c r="C31" s="311" t="s">
        <v>14</v>
      </c>
      <c r="D31" s="311" t="s">
        <v>414</v>
      </c>
      <c r="E31" s="12" t="s">
        <v>357</v>
      </c>
      <c r="F31" s="12" t="s">
        <v>432</v>
      </c>
      <c r="G31" s="320" t="s">
        <v>367</v>
      </c>
      <c r="H31" s="321" t="s">
        <v>368</v>
      </c>
      <c r="I31" s="12" t="s">
        <v>433</v>
      </c>
      <c r="J31" s="12"/>
      <c r="K31" s="314" t="str">
        <f t="array" ref="K31">IF(D31="", "", IFERROR(XLOOKUP(D31, Var!$P:$P, Var!$Q:$Q), ""))</f>
        <v>Feature Priority 1</v>
      </c>
      <c r="L31" s="315" t="s">
        <v>80</v>
      </c>
      <c r="M31" s="316" t="s">
        <v>60</v>
      </c>
      <c r="N31" s="317" t="s">
        <v>90</v>
      </c>
      <c r="O31" s="318">
        <v>46205.0</v>
      </c>
      <c r="P31" s="79"/>
      <c r="Q31" s="79"/>
    </row>
    <row r="32" hidden="1" outlineLevel="1">
      <c r="A32" s="310"/>
      <c r="B32" s="233" t="s">
        <v>434</v>
      </c>
      <c r="C32" s="311" t="s">
        <v>14</v>
      </c>
      <c r="D32" s="311" t="s">
        <v>414</v>
      </c>
      <c r="E32" s="12" t="s">
        <v>357</v>
      </c>
      <c r="G32" s="320" t="s">
        <v>371</v>
      </c>
      <c r="H32" s="321" t="s">
        <v>368</v>
      </c>
      <c r="I32" s="12" t="s">
        <v>435</v>
      </c>
      <c r="J32" s="12"/>
      <c r="K32" s="314" t="str">
        <f t="array" ref="K32">IF(D32="", "", IFERROR(XLOOKUP(D32, Var!$P:$P, Var!$Q:$Q), ""))</f>
        <v>Feature Priority 1</v>
      </c>
      <c r="L32" s="315" t="s">
        <v>80</v>
      </c>
      <c r="M32" s="316" t="s">
        <v>60</v>
      </c>
      <c r="N32" s="317" t="s">
        <v>90</v>
      </c>
      <c r="O32" s="318">
        <v>46205.0</v>
      </c>
      <c r="P32" s="79"/>
      <c r="Q32" s="79"/>
    </row>
    <row r="33" hidden="1" outlineLevel="1">
      <c r="A33" s="310"/>
      <c r="B33" s="233" t="s">
        <v>436</v>
      </c>
      <c r="C33" s="311" t="s">
        <v>14</v>
      </c>
      <c r="D33" s="311" t="s">
        <v>414</v>
      </c>
      <c r="E33" s="12" t="s">
        <v>357</v>
      </c>
      <c r="F33" s="12" t="s">
        <v>437</v>
      </c>
      <c r="G33" s="320" t="s">
        <v>367</v>
      </c>
      <c r="H33" s="321" t="s">
        <v>368</v>
      </c>
      <c r="I33" s="12" t="s">
        <v>438</v>
      </c>
      <c r="J33" s="12"/>
      <c r="K33" s="314" t="str">
        <f t="array" ref="K33">IF(D33="", "", IFERROR(XLOOKUP(D33, Var!$P:$P, Var!$Q:$Q), ""))</f>
        <v>Feature Priority 1</v>
      </c>
      <c r="L33" s="315" t="s">
        <v>80</v>
      </c>
      <c r="M33" s="316" t="s">
        <v>60</v>
      </c>
      <c r="N33" s="317" t="s">
        <v>90</v>
      </c>
      <c r="O33" s="318">
        <v>46205.0</v>
      </c>
      <c r="P33" s="79"/>
      <c r="Q33" s="79"/>
    </row>
    <row r="34" hidden="1" outlineLevel="1">
      <c r="A34" s="310"/>
      <c r="B34" s="233" t="s">
        <v>439</v>
      </c>
      <c r="C34" s="311" t="s">
        <v>14</v>
      </c>
      <c r="D34" s="311" t="s">
        <v>414</v>
      </c>
      <c r="E34" s="12" t="s">
        <v>357</v>
      </c>
      <c r="G34" s="320" t="s">
        <v>371</v>
      </c>
      <c r="H34" s="321" t="s">
        <v>368</v>
      </c>
      <c r="I34" s="12" t="s">
        <v>440</v>
      </c>
      <c r="J34" s="12"/>
      <c r="K34" s="314" t="str">
        <f t="array" ref="K34">IF(D34="", "", IFERROR(XLOOKUP(D34, Var!$P:$P, Var!$Q:$Q), ""))</f>
        <v>Feature Priority 1</v>
      </c>
      <c r="L34" s="315" t="s">
        <v>80</v>
      </c>
      <c r="M34" s="316" t="s">
        <v>60</v>
      </c>
      <c r="N34" s="317" t="s">
        <v>90</v>
      </c>
      <c r="O34" s="318">
        <v>46205.0</v>
      </c>
      <c r="P34" s="79"/>
      <c r="Q34" s="79"/>
    </row>
    <row r="35" hidden="1" outlineLevel="1">
      <c r="A35" s="310"/>
      <c r="B35" s="233" t="s">
        <v>441</v>
      </c>
      <c r="C35" s="311" t="s">
        <v>14</v>
      </c>
      <c r="D35" s="311" t="s">
        <v>414</v>
      </c>
      <c r="E35" s="12" t="s">
        <v>357</v>
      </c>
      <c r="F35" s="12" t="s">
        <v>442</v>
      </c>
      <c r="G35" s="320" t="s">
        <v>367</v>
      </c>
      <c r="H35" s="321" t="s">
        <v>368</v>
      </c>
      <c r="I35" s="12" t="s">
        <v>443</v>
      </c>
      <c r="J35" s="12"/>
      <c r="K35" s="314" t="str">
        <f t="array" ref="K35">IF(D35="", "", IFERROR(XLOOKUP(D35, Var!$P:$P, Var!$Q:$Q), ""))</f>
        <v>Feature Priority 1</v>
      </c>
      <c r="L35" s="315" t="s">
        <v>80</v>
      </c>
      <c r="M35" s="316" t="s">
        <v>60</v>
      </c>
      <c r="N35" s="317" t="s">
        <v>90</v>
      </c>
      <c r="O35" s="318">
        <v>46205.0</v>
      </c>
      <c r="P35" s="79"/>
      <c r="Q35" s="79"/>
    </row>
    <row r="36" hidden="1" outlineLevel="1">
      <c r="A36" s="310"/>
      <c r="B36" s="233" t="s">
        <v>444</v>
      </c>
      <c r="C36" s="311" t="s">
        <v>14</v>
      </c>
      <c r="D36" s="311" t="s">
        <v>414</v>
      </c>
      <c r="E36" s="12" t="s">
        <v>357</v>
      </c>
      <c r="G36" s="320" t="s">
        <v>371</v>
      </c>
      <c r="H36" s="321" t="s">
        <v>368</v>
      </c>
      <c r="I36" s="12" t="s">
        <v>445</v>
      </c>
      <c r="J36" s="12"/>
      <c r="K36" s="314" t="str">
        <f t="array" ref="K36">IF(D36="", "", IFERROR(XLOOKUP(D36, Var!$P:$P, Var!$Q:$Q), ""))</f>
        <v>Feature Priority 1</v>
      </c>
      <c r="L36" s="315" t="s">
        <v>80</v>
      </c>
      <c r="M36" s="316" t="s">
        <v>60</v>
      </c>
      <c r="N36" s="317" t="s">
        <v>90</v>
      </c>
      <c r="O36" s="318">
        <v>46205.0</v>
      </c>
      <c r="P36" s="79"/>
      <c r="Q36" s="79"/>
    </row>
    <row r="37" hidden="1" outlineLevel="1">
      <c r="A37" s="310"/>
      <c r="B37" s="233" t="s">
        <v>446</v>
      </c>
      <c r="C37" s="311" t="s">
        <v>14</v>
      </c>
      <c r="D37" s="311" t="s">
        <v>414</v>
      </c>
      <c r="E37" s="12" t="s">
        <v>357</v>
      </c>
      <c r="F37" s="12" t="s">
        <v>447</v>
      </c>
      <c r="G37" s="320" t="s">
        <v>367</v>
      </c>
      <c r="H37" s="321" t="s">
        <v>368</v>
      </c>
      <c r="I37" s="12" t="s">
        <v>448</v>
      </c>
      <c r="J37" s="12"/>
      <c r="K37" s="314" t="str">
        <f t="array" ref="K37">IF(D37="", "", IFERROR(XLOOKUP(D37, Var!$P:$P, Var!$Q:$Q), ""))</f>
        <v>Feature Priority 1</v>
      </c>
      <c r="L37" s="315" t="s">
        <v>80</v>
      </c>
      <c r="M37" s="316" t="s">
        <v>60</v>
      </c>
      <c r="N37" s="317" t="s">
        <v>90</v>
      </c>
      <c r="O37" s="318">
        <v>46205.0</v>
      </c>
      <c r="P37" s="79"/>
      <c r="Q37" s="79"/>
    </row>
    <row r="38" hidden="1" outlineLevel="1">
      <c r="A38" s="310"/>
      <c r="B38" s="233" t="s">
        <v>449</v>
      </c>
      <c r="C38" s="311" t="s">
        <v>14</v>
      </c>
      <c r="D38" s="311" t="s">
        <v>414</v>
      </c>
      <c r="E38" s="12" t="s">
        <v>357</v>
      </c>
      <c r="G38" s="320" t="s">
        <v>371</v>
      </c>
      <c r="H38" s="321" t="s">
        <v>368</v>
      </c>
      <c r="I38" s="12" t="s">
        <v>450</v>
      </c>
      <c r="J38" s="12"/>
      <c r="K38" s="314" t="str">
        <f t="array" ref="K38">IF(D38="", "", IFERROR(XLOOKUP(D38, Var!$P:$P, Var!$Q:$Q), ""))</f>
        <v>Feature Priority 1</v>
      </c>
      <c r="L38" s="315" t="s">
        <v>80</v>
      </c>
      <c r="M38" s="316" t="s">
        <v>60</v>
      </c>
      <c r="N38" s="317" t="s">
        <v>90</v>
      </c>
      <c r="O38" s="318">
        <v>46205.0</v>
      </c>
      <c r="P38" s="79"/>
      <c r="Q38" s="79"/>
    </row>
    <row r="39" hidden="1" outlineLevel="1">
      <c r="A39" s="310"/>
      <c r="B39" s="233" t="s">
        <v>451</v>
      </c>
      <c r="C39" s="311" t="s">
        <v>14</v>
      </c>
      <c r="D39" s="311" t="s">
        <v>414</v>
      </c>
      <c r="E39" s="12" t="s">
        <v>357</v>
      </c>
      <c r="F39" s="12" t="s">
        <v>452</v>
      </c>
      <c r="G39" s="320" t="s">
        <v>367</v>
      </c>
      <c r="H39" s="321" t="s">
        <v>368</v>
      </c>
      <c r="I39" s="12" t="s">
        <v>453</v>
      </c>
      <c r="J39" s="12"/>
      <c r="K39" s="314" t="str">
        <f t="array" ref="K39">IF(D39="", "", IFERROR(XLOOKUP(D39, Var!$P:$P, Var!$Q:$Q), ""))</f>
        <v>Feature Priority 1</v>
      </c>
      <c r="L39" s="315" t="s">
        <v>80</v>
      </c>
      <c r="M39" s="316" t="s">
        <v>60</v>
      </c>
      <c r="N39" s="317" t="s">
        <v>90</v>
      </c>
      <c r="O39" s="318">
        <v>46205.0</v>
      </c>
      <c r="P39" s="79"/>
      <c r="Q39" s="79"/>
    </row>
    <row r="40" hidden="1" outlineLevel="1">
      <c r="A40" s="310"/>
      <c r="B40" s="233" t="s">
        <v>454</v>
      </c>
      <c r="C40" s="311" t="s">
        <v>14</v>
      </c>
      <c r="D40" s="311" t="s">
        <v>414</v>
      </c>
      <c r="E40" s="12" t="s">
        <v>357</v>
      </c>
      <c r="G40" s="320" t="s">
        <v>371</v>
      </c>
      <c r="H40" s="321" t="s">
        <v>368</v>
      </c>
      <c r="I40" s="12" t="s">
        <v>455</v>
      </c>
      <c r="J40" s="12"/>
      <c r="K40" s="314" t="str">
        <f t="array" ref="K40">IF(D40="", "", IFERROR(XLOOKUP(D40, Var!$P:$P, Var!$Q:$Q), ""))</f>
        <v>Feature Priority 1</v>
      </c>
      <c r="L40" s="315" t="s">
        <v>80</v>
      </c>
      <c r="M40" s="316" t="s">
        <v>60</v>
      </c>
      <c r="N40" s="317" t="s">
        <v>90</v>
      </c>
      <c r="O40" s="318">
        <v>46205.0</v>
      </c>
      <c r="P40" s="79"/>
      <c r="Q40" s="79"/>
    </row>
    <row r="41" hidden="1" outlineLevel="1">
      <c r="A41" s="310"/>
      <c r="B41" s="233" t="s">
        <v>456</v>
      </c>
      <c r="C41" s="311" t="s">
        <v>14</v>
      </c>
      <c r="D41" s="311" t="s">
        <v>353</v>
      </c>
      <c r="E41" s="12" t="s">
        <v>357</v>
      </c>
      <c r="F41" s="12" t="s">
        <v>457</v>
      </c>
      <c r="G41" s="320" t="s">
        <v>367</v>
      </c>
      <c r="H41" s="321" t="s">
        <v>368</v>
      </c>
      <c r="I41" s="12" t="s">
        <v>458</v>
      </c>
      <c r="J41" s="12"/>
      <c r="K41" s="314" t="str">
        <f t="array" ref="K41">IF(D41="", "", IFERROR(XLOOKUP(D41, Var!$P:$P, Var!$Q:$Q), ""))</f>
        <v>Feature Priority 1</v>
      </c>
      <c r="L41" s="315" t="s">
        <v>80</v>
      </c>
      <c r="M41" s="316" t="s">
        <v>60</v>
      </c>
      <c r="N41" s="317" t="s">
        <v>90</v>
      </c>
      <c r="O41" s="318">
        <v>46205.0</v>
      </c>
      <c r="P41" s="79"/>
      <c r="Q41" s="79"/>
    </row>
    <row r="42" collapsed="1">
      <c r="A42" s="300"/>
      <c r="B42" s="301" t="s">
        <v>459</v>
      </c>
      <c r="E42" s="302"/>
      <c r="F42" s="302"/>
      <c r="G42" s="302"/>
      <c r="H42" s="303"/>
      <c r="I42" s="302"/>
      <c r="J42" s="304"/>
      <c r="K42" s="305"/>
      <c r="L42" s="306"/>
      <c r="M42" s="305"/>
      <c r="N42" s="307"/>
      <c r="O42" s="308"/>
      <c r="P42" s="309"/>
      <c r="Q42" s="309"/>
    </row>
    <row r="43" hidden="1" outlineLevel="1">
      <c r="A43" s="310"/>
      <c r="B43" s="233" t="s">
        <v>460</v>
      </c>
      <c r="C43" s="311" t="s">
        <v>14</v>
      </c>
      <c r="D43" s="311" t="s">
        <v>414</v>
      </c>
      <c r="E43" s="12" t="s">
        <v>357</v>
      </c>
      <c r="F43" s="12" t="s">
        <v>461</v>
      </c>
      <c r="G43" s="12"/>
      <c r="H43" s="321" t="s">
        <v>368</v>
      </c>
      <c r="I43" s="12" t="s">
        <v>462</v>
      </c>
      <c r="J43" s="12"/>
      <c r="K43" s="314" t="str">
        <f t="array" ref="K43">IF(D43="", "", IFERROR(XLOOKUP(D43, Var!$P:$P, Var!$Q:$Q), ""))</f>
        <v>Feature Priority 1</v>
      </c>
      <c r="L43" s="315" t="s">
        <v>80</v>
      </c>
      <c r="M43" s="316" t="s">
        <v>60</v>
      </c>
      <c r="N43" s="317" t="s">
        <v>90</v>
      </c>
      <c r="O43" s="318">
        <v>46205.0</v>
      </c>
      <c r="P43" s="79"/>
      <c r="Q43" s="79"/>
    </row>
    <row r="44" hidden="1" outlineLevel="1">
      <c r="A44" s="310"/>
      <c r="B44" s="233" t="s">
        <v>463</v>
      </c>
      <c r="C44" s="311" t="s">
        <v>14</v>
      </c>
      <c r="D44" s="311" t="s">
        <v>414</v>
      </c>
      <c r="E44" s="12" t="s">
        <v>357</v>
      </c>
      <c r="F44" s="12" t="s">
        <v>464</v>
      </c>
      <c r="G44" s="12"/>
      <c r="H44" s="321" t="s">
        <v>368</v>
      </c>
      <c r="I44" s="12" t="s">
        <v>465</v>
      </c>
      <c r="J44" s="12"/>
      <c r="K44" s="314" t="str">
        <f t="array" ref="K44">IF(D44="", "", IFERROR(XLOOKUP(D44, Var!$P:$P, Var!$Q:$Q), ""))</f>
        <v>Feature Priority 1</v>
      </c>
      <c r="L44" s="315" t="s">
        <v>80</v>
      </c>
      <c r="M44" s="316" t="s">
        <v>60</v>
      </c>
      <c r="N44" s="317" t="s">
        <v>90</v>
      </c>
      <c r="O44" s="318">
        <v>46205.0</v>
      </c>
      <c r="P44" s="79"/>
      <c r="Q44" s="79"/>
    </row>
    <row r="45" hidden="1" outlineLevel="1">
      <c r="A45" s="310"/>
      <c r="B45" s="233" t="s">
        <v>466</v>
      </c>
      <c r="C45" s="311" t="s">
        <v>14</v>
      </c>
      <c r="D45" s="311" t="s">
        <v>414</v>
      </c>
      <c r="E45" s="12" t="s">
        <v>357</v>
      </c>
      <c r="F45" s="12" t="s">
        <v>467</v>
      </c>
      <c r="G45" s="12"/>
      <c r="H45" s="321" t="s">
        <v>368</v>
      </c>
      <c r="I45" s="12" t="s">
        <v>468</v>
      </c>
      <c r="J45" s="12"/>
      <c r="K45" s="314" t="str">
        <f t="array" ref="K45">IF(D45="", "", IFERROR(XLOOKUP(D45, Var!$P:$P, Var!$Q:$Q), ""))</f>
        <v>Feature Priority 1</v>
      </c>
      <c r="L45" s="315" t="s">
        <v>80</v>
      </c>
      <c r="M45" s="316" t="s">
        <v>60</v>
      </c>
      <c r="N45" s="317" t="s">
        <v>90</v>
      </c>
      <c r="O45" s="318">
        <v>46205.0</v>
      </c>
      <c r="P45" s="79"/>
      <c r="Q45" s="79"/>
    </row>
    <row r="46">
      <c r="A46" s="324"/>
      <c r="B46" s="325" t="s">
        <v>469</v>
      </c>
      <c r="G46" s="326"/>
      <c r="H46" s="327"/>
      <c r="I46" s="326"/>
      <c r="J46" s="328"/>
      <c r="K46" s="329"/>
      <c r="L46" s="330"/>
      <c r="M46" s="329"/>
      <c r="N46" s="331"/>
      <c r="O46" s="332"/>
      <c r="P46" s="333"/>
      <c r="Q46" s="333"/>
    </row>
    <row r="47" outlineLevel="1" collapsed="1">
      <c r="A47" s="300"/>
      <c r="B47" s="301" t="s">
        <v>416</v>
      </c>
      <c r="E47" s="302"/>
      <c r="F47" s="302"/>
      <c r="G47" s="302"/>
      <c r="H47" s="303"/>
      <c r="I47" s="302"/>
      <c r="J47" s="304"/>
      <c r="K47" s="305"/>
      <c r="L47" s="306"/>
      <c r="M47" s="305"/>
      <c r="N47" s="307"/>
      <c r="O47" s="308"/>
      <c r="P47" s="309"/>
      <c r="Q47" s="309"/>
    </row>
    <row r="48" hidden="1" outlineLevel="2">
      <c r="A48" s="310"/>
      <c r="B48" s="233" t="s">
        <v>470</v>
      </c>
      <c r="C48" s="311" t="s">
        <v>14</v>
      </c>
      <c r="D48" s="311" t="s">
        <v>414</v>
      </c>
      <c r="E48" s="12" t="s">
        <v>357</v>
      </c>
      <c r="F48" s="12" t="s">
        <v>471</v>
      </c>
      <c r="G48" s="320" t="s">
        <v>367</v>
      </c>
      <c r="H48" s="312" t="s">
        <v>472</v>
      </c>
      <c r="I48" s="12" t="s">
        <v>473</v>
      </c>
      <c r="J48" s="12"/>
      <c r="K48" s="314" t="str">
        <f t="array" ref="K48">IF(D48="", "", IFERROR(XLOOKUP(D48, Var!$P:$P, Var!$Q:$Q), ""))</f>
        <v>Feature Priority 1</v>
      </c>
      <c r="L48" s="315" t="s">
        <v>80</v>
      </c>
      <c r="M48" s="316" t="s">
        <v>60</v>
      </c>
      <c r="N48" s="317" t="s">
        <v>90</v>
      </c>
      <c r="O48" s="318">
        <v>46205.0</v>
      </c>
      <c r="P48" s="79"/>
      <c r="Q48" s="79"/>
    </row>
    <row r="49" hidden="1" outlineLevel="2">
      <c r="A49" s="310"/>
      <c r="B49" s="233" t="s">
        <v>474</v>
      </c>
      <c r="C49" s="311" t="s">
        <v>14</v>
      </c>
      <c r="D49" s="311" t="s">
        <v>414</v>
      </c>
      <c r="E49" s="12" t="s">
        <v>357</v>
      </c>
      <c r="G49" s="320" t="s">
        <v>371</v>
      </c>
      <c r="H49" s="312" t="s">
        <v>475</v>
      </c>
      <c r="I49" s="12" t="s">
        <v>476</v>
      </c>
      <c r="J49" s="12"/>
      <c r="K49" s="314" t="str">
        <f t="array" ref="K49">IF(D49="", "", IFERROR(XLOOKUP(D49, Var!$P:$P, Var!$Q:$Q), ""))</f>
        <v>Feature Priority 1</v>
      </c>
      <c r="L49" s="315" t="s">
        <v>80</v>
      </c>
      <c r="M49" s="316" t="s">
        <v>60</v>
      </c>
      <c r="N49" s="317" t="s">
        <v>90</v>
      </c>
      <c r="O49" s="318">
        <v>46205.0</v>
      </c>
      <c r="P49" s="79"/>
      <c r="Q49" s="79"/>
    </row>
    <row r="50" outlineLevel="1" collapsed="1">
      <c r="A50" s="300"/>
      <c r="B50" s="301" t="s">
        <v>459</v>
      </c>
      <c r="E50" s="302"/>
      <c r="F50" s="302"/>
      <c r="G50" s="302"/>
      <c r="H50" s="303"/>
      <c r="I50" s="302"/>
      <c r="J50" s="304"/>
      <c r="K50" s="305"/>
      <c r="L50" s="306"/>
      <c r="M50" s="305"/>
      <c r="N50" s="307"/>
      <c r="O50" s="308"/>
      <c r="P50" s="309"/>
      <c r="Q50" s="309"/>
    </row>
    <row r="51" hidden="1" outlineLevel="2">
      <c r="A51" s="310"/>
      <c r="B51" s="233" t="s">
        <v>477</v>
      </c>
      <c r="C51" s="311" t="s">
        <v>14</v>
      </c>
      <c r="D51" s="311" t="s">
        <v>414</v>
      </c>
      <c r="E51" s="12" t="s">
        <v>357</v>
      </c>
      <c r="F51" s="12" t="s">
        <v>478</v>
      </c>
      <c r="G51" s="334"/>
      <c r="H51" s="321" t="s">
        <v>368</v>
      </c>
      <c r="I51" s="12" t="s">
        <v>479</v>
      </c>
      <c r="J51" s="12"/>
      <c r="K51" s="314" t="str">
        <f t="array" ref="K51">IF(D51="", "", IFERROR(XLOOKUP(D51, Var!$P:$P, Var!$Q:$Q), ""))</f>
        <v>Feature Priority 1</v>
      </c>
      <c r="L51" s="315" t="s">
        <v>80</v>
      </c>
      <c r="M51" s="316" t="s">
        <v>60</v>
      </c>
      <c r="N51" s="317" t="s">
        <v>90</v>
      </c>
      <c r="O51" s="318">
        <v>46205.0</v>
      </c>
      <c r="P51" s="79"/>
      <c r="Q51" s="79"/>
    </row>
    <row r="52">
      <c r="A52" s="324"/>
      <c r="B52" s="325" t="s">
        <v>480</v>
      </c>
      <c r="G52" s="326"/>
      <c r="H52" s="327"/>
      <c r="I52" s="326"/>
      <c r="J52" s="328"/>
      <c r="K52" s="329"/>
      <c r="L52" s="330"/>
      <c r="M52" s="329"/>
      <c r="N52" s="331"/>
      <c r="O52" s="332"/>
      <c r="P52" s="333"/>
      <c r="Q52" s="333"/>
    </row>
    <row r="53" outlineLevel="1" collapsed="1">
      <c r="A53" s="300"/>
      <c r="B53" s="301" t="s">
        <v>416</v>
      </c>
      <c r="E53" s="302"/>
      <c r="F53" s="302"/>
      <c r="G53" s="302"/>
      <c r="H53" s="303"/>
      <c r="I53" s="302"/>
      <c r="J53" s="304"/>
      <c r="K53" s="305"/>
      <c r="L53" s="306"/>
      <c r="M53" s="305"/>
      <c r="N53" s="307"/>
      <c r="O53" s="308"/>
      <c r="P53" s="309"/>
      <c r="Q53" s="309"/>
    </row>
    <row r="54" hidden="1" outlineLevel="2">
      <c r="A54" s="310"/>
      <c r="B54" s="233" t="s">
        <v>481</v>
      </c>
      <c r="C54" s="311" t="s">
        <v>14</v>
      </c>
      <c r="D54" s="311" t="s">
        <v>414</v>
      </c>
      <c r="E54" s="12" t="s">
        <v>357</v>
      </c>
      <c r="F54" s="12" t="s">
        <v>482</v>
      </c>
      <c r="G54" s="320" t="s">
        <v>367</v>
      </c>
      <c r="H54" s="312" t="s">
        <v>483</v>
      </c>
      <c r="I54" s="12" t="s">
        <v>484</v>
      </c>
      <c r="J54" s="12"/>
      <c r="K54" s="314" t="str">
        <f t="array" ref="K54">IF(D54="", "", IFERROR(XLOOKUP(D54, Var!$P:$P, Var!$Q:$Q), ""))</f>
        <v>Feature Priority 1</v>
      </c>
      <c r="L54" s="315" t="s">
        <v>80</v>
      </c>
      <c r="M54" s="316" t="s">
        <v>60</v>
      </c>
      <c r="N54" s="317" t="s">
        <v>90</v>
      </c>
      <c r="O54" s="318">
        <v>46205.0</v>
      </c>
      <c r="P54" s="79"/>
      <c r="Q54" s="79"/>
    </row>
    <row r="55" hidden="1" outlineLevel="2">
      <c r="A55" s="310"/>
      <c r="B55" s="233" t="s">
        <v>485</v>
      </c>
      <c r="C55" s="311" t="s">
        <v>14</v>
      </c>
      <c r="D55" s="311" t="s">
        <v>414</v>
      </c>
      <c r="E55" s="12" t="s">
        <v>357</v>
      </c>
      <c r="G55" s="320" t="s">
        <v>371</v>
      </c>
      <c r="H55" s="312" t="s">
        <v>486</v>
      </c>
      <c r="I55" s="12" t="s">
        <v>487</v>
      </c>
      <c r="J55" s="12"/>
      <c r="K55" s="314" t="str">
        <f t="array" ref="K55">IF(D55="", "", IFERROR(XLOOKUP(D55, Var!$P:$P, Var!$Q:$Q), ""))</f>
        <v>Feature Priority 1</v>
      </c>
      <c r="L55" s="315" t="s">
        <v>80</v>
      </c>
      <c r="M55" s="316" t="s">
        <v>60</v>
      </c>
      <c r="N55" s="317" t="s">
        <v>90</v>
      </c>
      <c r="O55" s="318">
        <v>46205.0</v>
      </c>
      <c r="P55" s="79"/>
      <c r="Q55" s="79"/>
    </row>
    <row r="56" outlineLevel="1" collapsed="1">
      <c r="A56" s="300"/>
      <c r="B56" s="301" t="s">
        <v>459</v>
      </c>
      <c r="E56" s="302"/>
      <c r="F56" s="302"/>
      <c r="G56" s="302"/>
      <c r="H56" s="303"/>
      <c r="I56" s="302"/>
      <c r="J56" s="304"/>
      <c r="K56" s="305"/>
      <c r="L56" s="306"/>
      <c r="M56" s="305"/>
      <c r="N56" s="307"/>
      <c r="O56" s="308"/>
      <c r="P56" s="309"/>
      <c r="Q56" s="309"/>
    </row>
    <row r="57" hidden="1" outlineLevel="2">
      <c r="A57" s="310"/>
      <c r="B57" s="233" t="s">
        <v>488</v>
      </c>
      <c r="C57" s="311" t="s">
        <v>14</v>
      </c>
      <c r="D57" s="311" t="s">
        <v>414</v>
      </c>
      <c r="E57" s="12" t="s">
        <v>357</v>
      </c>
      <c r="F57" s="12" t="s">
        <v>489</v>
      </c>
      <c r="G57" s="334"/>
      <c r="H57" s="321" t="s">
        <v>368</v>
      </c>
      <c r="I57" s="12" t="s">
        <v>490</v>
      </c>
      <c r="J57" s="12"/>
      <c r="K57" s="314" t="str">
        <f t="array" ref="K57">IF(D57="", "", IFERROR(XLOOKUP(D57, Var!$P:$P, Var!$Q:$Q), ""))</f>
        <v>Feature Priority 1</v>
      </c>
      <c r="L57" s="315" t="s">
        <v>80</v>
      </c>
      <c r="M57" s="316" t="s">
        <v>60</v>
      </c>
      <c r="N57" s="317" t="s">
        <v>90</v>
      </c>
      <c r="O57" s="318">
        <v>46205.0</v>
      </c>
      <c r="P57" s="79"/>
      <c r="Q57" s="79"/>
    </row>
    <row r="58">
      <c r="A58" s="289"/>
      <c r="B58" s="290" t="s">
        <v>491</v>
      </c>
      <c r="C58" s="291"/>
      <c r="D58" s="292"/>
      <c r="E58" s="293"/>
      <c r="F58" s="294" t="s">
        <v>492</v>
      </c>
      <c r="G58" s="323"/>
      <c r="H58" s="292"/>
      <c r="I58" s="292"/>
      <c r="J58" s="297"/>
      <c r="K58" s="298"/>
      <c r="L58" s="298"/>
      <c r="M58" s="298"/>
      <c r="N58" s="291"/>
      <c r="O58" s="299"/>
      <c r="P58" s="291"/>
      <c r="Q58" s="291"/>
    </row>
    <row r="59" outlineLevel="1" collapsed="1">
      <c r="A59" s="324"/>
      <c r="B59" s="325" t="s">
        <v>493</v>
      </c>
      <c r="G59" s="326"/>
      <c r="H59" s="327"/>
      <c r="I59" s="326"/>
      <c r="J59" s="328"/>
      <c r="K59" s="329"/>
      <c r="L59" s="330"/>
      <c r="M59" s="329"/>
      <c r="N59" s="331"/>
      <c r="O59" s="332"/>
      <c r="P59" s="333"/>
      <c r="Q59" s="333"/>
    </row>
    <row r="60" hidden="1" outlineLevel="2">
      <c r="A60" s="300"/>
      <c r="B60" s="301" t="s">
        <v>494</v>
      </c>
      <c r="E60" s="302"/>
      <c r="F60" s="302"/>
      <c r="G60" s="302"/>
      <c r="H60" s="303"/>
      <c r="I60" s="302"/>
      <c r="J60" s="304"/>
      <c r="K60" s="305"/>
      <c r="L60" s="306"/>
      <c r="M60" s="305"/>
      <c r="N60" s="307"/>
      <c r="O60" s="308"/>
      <c r="P60" s="309"/>
      <c r="Q60" s="309"/>
    </row>
    <row r="61" hidden="1" outlineLevel="2">
      <c r="A61" s="310"/>
      <c r="B61" s="233" t="s">
        <v>495</v>
      </c>
      <c r="C61" s="311" t="s">
        <v>14</v>
      </c>
      <c r="D61" s="311" t="s">
        <v>491</v>
      </c>
      <c r="E61" s="12" t="s">
        <v>357</v>
      </c>
      <c r="F61" s="12" t="s">
        <v>496</v>
      </c>
      <c r="G61" s="320" t="s">
        <v>367</v>
      </c>
      <c r="H61" s="321" t="s">
        <v>368</v>
      </c>
      <c r="I61" s="12" t="s">
        <v>497</v>
      </c>
      <c r="J61" s="12" t="s">
        <v>498</v>
      </c>
      <c r="K61" s="335" t="str">
        <f t="array" ref="K61">IF(D61="", "", IFERROR(XLOOKUP(D61, Var!$P:$P, Var!$Q:$Q), ""))</f>
        <v>Feature Priority 1</v>
      </c>
      <c r="L61" s="315" t="s">
        <v>80</v>
      </c>
      <c r="M61" s="316" t="s">
        <v>60</v>
      </c>
      <c r="N61" s="317" t="s">
        <v>90</v>
      </c>
      <c r="O61" s="318">
        <v>46199.0</v>
      </c>
      <c r="P61" s="79"/>
      <c r="Q61" s="79"/>
    </row>
    <row r="62" hidden="1" outlineLevel="2">
      <c r="A62" s="310"/>
      <c r="B62" s="233" t="s">
        <v>499</v>
      </c>
      <c r="C62" s="311" t="s">
        <v>14</v>
      </c>
      <c r="D62" s="311" t="s">
        <v>491</v>
      </c>
      <c r="E62" s="12" t="s">
        <v>357</v>
      </c>
      <c r="G62" s="320" t="s">
        <v>371</v>
      </c>
      <c r="H62" s="321" t="s">
        <v>368</v>
      </c>
      <c r="I62" s="12" t="s">
        <v>500</v>
      </c>
      <c r="J62" s="12"/>
      <c r="K62" s="335" t="str">
        <f t="array" ref="K62">IF(D62="", "", IFERROR(XLOOKUP(D62, Var!$P:$P, Var!$Q:$Q), ""))</f>
        <v>Feature Priority 1</v>
      </c>
      <c r="L62" s="315" t="s">
        <v>80</v>
      </c>
      <c r="M62" s="316" t="s">
        <v>60</v>
      </c>
      <c r="N62" s="317" t="s">
        <v>90</v>
      </c>
      <c r="O62" s="318">
        <v>46199.0</v>
      </c>
      <c r="P62" s="79"/>
      <c r="Q62" s="79"/>
    </row>
    <row r="63" hidden="1" outlineLevel="2">
      <c r="A63" s="336"/>
      <c r="B63" s="233" t="s">
        <v>501</v>
      </c>
      <c r="C63" s="337" t="s">
        <v>14</v>
      </c>
      <c r="D63" s="337" t="s">
        <v>491</v>
      </c>
      <c r="E63" s="338" t="s">
        <v>357</v>
      </c>
      <c r="F63" s="339" t="s">
        <v>502</v>
      </c>
      <c r="G63" s="340"/>
      <c r="H63" s="341" t="s">
        <v>368</v>
      </c>
      <c r="I63" s="339" t="s">
        <v>503</v>
      </c>
      <c r="J63" s="340"/>
      <c r="K63" s="335" t="str">
        <f t="array" ref="K63">IF(D63="", "", IFERROR(XLOOKUP(D63, Var!$P:$P, Var!$Q:$Q), ""))</f>
        <v>Feature Priority 1</v>
      </c>
      <c r="L63" s="338" t="s">
        <v>80</v>
      </c>
      <c r="M63" s="316" t="s">
        <v>60</v>
      </c>
      <c r="N63" s="317" t="s">
        <v>90</v>
      </c>
      <c r="O63" s="318">
        <v>46199.0</v>
      </c>
      <c r="P63" s="342"/>
      <c r="Q63" s="342"/>
    </row>
    <row r="64" hidden="1" outlineLevel="2">
      <c r="A64" s="310"/>
      <c r="B64" s="233" t="s">
        <v>504</v>
      </c>
      <c r="C64" s="311" t="s">
        <v>14</v>
      </c>
      <c r="D64" s="311" t="s">
        <v>491</v>
      </c>
      <c r="E64" s="12" t="s">
        <v>357</v>
      </c>
      <c r="F64" s="12" t="s">
        <v>505</v>
      </c>
      <c r="G64" s="12"/>
      <c r="H64" s="321" t="s">
        <v>368</v>
      </c>
      <c r="I64" s="12" t="s">
        <v>506</v>
      </c>
      <c r="J64" s="12"/>
      <c r="K64" s="314" t="str">
        <f t="array" ref="K64">IF(D64="", "", IFERROR(XLOOKUP(D64, Var!$P:$P, Var!$Q:$Q), ""))</f>
        <v>Feature Priority 1</v>
      </c>
      <c r="L64" s="315" t="s">
        <v>80</v>
      </c>
      <c r="M64" s="316" t="s">
        <v>60</v>
      </c>
      <c r="N64" s="317" t="s">
        <v>90</v>
      </c>
      <c r="O64" s="318">
        <v>46199.0</v>
      </c>
      <c r="P64" s="79"/>
      <c r="Q64" s="79"/>
    </row>
    <row r="65" hidden="1" outlineLevel="2">
      <c r="A65" s="300"/>
      <c r="B65" s="301" t="s">
        <v>507</v>
      </c>
      <c r="E65" s="302"/>
      <c r="F65" s="302"/>
      <c r="G65" s="302"/>
      <c r="H65" s="303"/>
      <c r="I65" s="302"/>
      <c r="J65" s="304"/>
      <c r="K65" s="305"/>
      <c r="L65" s="306"/>
      <c r="M65" s="305"/>
      <c r="N65" s="307"/>
      <c r="O65" s="308"/>
      <c r="P65" s="309"/>
      <c r="Q65" s="309"/>
    </row>
    <row r="66" hidden="1" outlineLevel="2">
      <c r="A66" s="310"/>
      <c r="B66" s="233" t="s">
        <v>508</v>
      </c>
      <c r="C66" s="311" t="s">
        <v>14</v>
      </c>
      <c r="D66" s="311" t="s">
        <v>491</v>
      </c>
      <c r="E66" s="12" t="s">
        <v>357</v>
      </c>
      <c r="F66" s="12" t="s">
        <v>509</v>
      </c>
      <c r="G66" s="12"/>
      <c r="H66" s="321" t="s">
        <v>368</v>
      </c>
      <c r="I66" s="12" t="s">
        <v>510</v>
      </c>
      <c r="J66" s="12" t="s">
        <v>498</v>
      </c>
      <c r="K66" s="314" t="str">
        <f t="array" ref="K66">IF(D66="", "", IFERROR(XLOOKUP(D66, Var!$P:$P, Var!$Q:$Q), ""))</f>
        <v>Feature Priority 1</v>
      </c>
      <c r="L66" s="315" t="s">
        <v>80</v>
      </c>
      <c r="M66" s="316" t="s">
        <v>60</v>
      </c>
      <c r="N66" s="317" t="s">
        <v>90</v>
      </c>
      <c r="O66" s="318">
        <v>46199.0</v>
      </c>
      <c r="P66" s="79"/>
      <c r="Q66" s="79"/>
    </row>
    <row r="67" hidden="1" outlineLevel="2">
      <c r="A67" s="336"/>
      <c r="B67" s="233" t="s">
        <v>511</v>
      </c>
      <c r="C67" s="337" t="s">
        <v>14</v>
      </c>
      <c r="D67" s="337" t="s">
        <v>491</v>
      </c>
      <c r="E67" s="338" t="s">
        <v>357</v>
      </c>
      <c r="F67" s="339" t="s">
        <v>512</v>
      </c>
      <c r="G67" s="340"/>
      <c r="H67" s="341" t="s">
        <v>368</v>
      </c>
      <c r="I67" s="339" t="s">
        <v>513</v>
      </c>
      <c r="J67" s="340"/>
      <c r="K67" s="335" t="str">
        <f t="array" ref="K67">IF(D67="", "", IFERROR(XLOOKUP(D67, Var!$P:$P, Var!$Q:$Q), ""))</f>
        <v>Feature Priority 1</v>
      </c>
      <c r="L67" s="338" t="s">
        <v>80</v>
      </c>
      <c r="M67" s="316" t="s">
        <v>60</v>
      </c>
      <c r="N67" s="317" t="s">
        <v>90</v>
      </c>
      <c r="O67" s="318">
        <v>46199.0</v>
      </c>
      <c r="P67" s="342"/>
      <c r="Q67" s="342"/>
    </row>
    <row r="68" hidden="1" outlineLevel="2">
      <c r="A68" s="310"/>
      <c r="B68" s="233" t="s">
        <v>514</v>
      </c>
      <c r="C68" s="311" t="s">
        <v>14</v>
      </c>
      <c r="D68" s="311" t="s">
        <v>491</v>
      </c>
      <c r="E68" s="12" t="s">
        <v>357</v>
      </c>
      <c r="F68" s="12" t="s">
        <v>515</v>
      </c>
      <c r="G68" s="12"/>
      <c r="H68" s="312"/>
      <c r="I68" s="12" t="s">
        <v>516</v>
      </c>
      <c r="J68" s="12"/>
      <c r="K68" s="314" t="str">
        <f t="array" ref="K68">IF(D68="", "", IFERROR(XLOOKUP(D68, Var!$P:$P, Var!$Q:$Q), ""))</f>
        <v>Feature Priority 1</v>
      </c>
      <c r="L68" s="315" t="s">
        <v>80</v>
      </c>
      <c r="M68" s="316" t="s">
        <v>60</v>
      </c>
      <c r="N68" s="317" t="s">
        <v>90</v>
      </c>
      <c r="O68" s="318">
        <v>46199.0</v>
      </c>
      <c r="P68" s="79"/>
      <c r="Q68" s="79"/>
    </row>
    <row r="69" outlineLevel="1" collapsed="1">
      <c r="A69" s="324"/>
      <c r="B69" s="325" t="s">
        <v>517</v>
      </c>
      <c r="G69" s="326"/>
      <c r="H69" s="327"/>
      <c r="I69" s="326"/>
      <c r="J69" s="328"/>
      <c r="K69" s="329"/>
      <c r="L69" s="330"/>
      <c r="M69" s="329"/>
      <c r="N69" s="331"/>
      <c r="O69" s="332"/>
      <c r="P69" s="333"/>
      <c r="Q69" s="333"/>
    </row>
    <row r="70" hidden="1" outlineLevel="2">
      <c r="A70" s="300"/>
      <c r="B70" s="301" t="s">
        <v>494</v>
      </c>
      <c r="E70" s="302"/>
      <c r="F70" s="302"/>
      <c r="G70" s="302"/>
      <c r="H70" s="303"/>
      <c r="I70" s="302"/>
      <c r="J70" s="304"/>
      <c r="K70" s="305"/>
      <c r="L70" s="306"/>
      <c r="M70" s="305"/>
      <c r="N70" s="307"/>
      <c r="O70" s="308"/>
      <c r="P70" s="309"/>
      <c r="Q70" s="309"/>
    </row>
    <row r="71" hidden="1" outlineLevel="2">
      <c r="A71" s="310"/>
      <c r="B71" s="233" t="s">
        <v>518</v>
      </c>
      <c r="C71" s="311" t="s">
        <v>14</v>
      </c>
      <c r="D71" s="311" t="s">
        <v>491</v>
      </c>
      <c r="E71" s="12" t="s">
        <v>357</v>
      </c>
      <c r="F71" s="12" t="s">
        <v>519</v>
      </c>
      <c r="G71" s="320" t="s">
        <v>367</v>
      </c>
      <c r="H71" s="321" t="s">
        <v>368</v>
      </c>
      <c r="I71" s="12" t="s">
        <v>520</v>
      </c>
      <c r="J71" s="12"/>
      <c r="K71" s="335" t="str">
        <f t="array" ref="K71">IF(D71="", "", IFERROR(XLOOKUP(D71, Var!$P:$P, Var!$Q:$Q), ""))</f>
        <v>Feature Priority 1</v>
      </c>
      <c r="L71" s="315" t="s">
        <v>80</v>
      </c>
      <c r="M71" s="316" t="s">
        <v>60</v>
      </c>
      <c r="N71" s="317" t="s">
        <v>90</v>
      </c>
      <c r="O71" s="318">
        <v>46202.0</v>
      </c>
      <c r="P71" s="79"/>
      <c r="Q71" s="79"/>
    </row>
    <row r="72" hidden="1" outlineLevel="2">
      <c r="A72" s="310"/>
      <c r="B72" s="233" t="s">
        <v>521</v>
      </c>
      <c r="C72" s="311" t="s">
        <v>14</v>
      </c>
      <c r="D72" s="311" t="s">
        <v>491</v>
      </c>
      <c r="E72" s="12" t="s">
        <v>357</v>
      </c>
      <c r="G72" s="320" t="s">
        <v>371</v>
      </c>
      <c r="H72" s="321" t="s">
        <v>368</v>
      </c>
      <c r="I72" s="12" t="s">
        <v>522</v>
      </c>
      <c r="J72" s="12"/>
      <c r="K72" s="335" t="str">
        <f t="array" ref="K72">IF(D72="", "", IFERROR(XLOOKUP(D72, Var!$P:$P, Var!$Q:$Q), ""))</f>
        <v>Feature Priority 1</v>
      </c>
      <c r="L72" s="315" t="s">
        <v>80</v>
      </c>
      <c r="M72" s="316" t="s">
        <v>60</v>
      </c>
      <c r="N72" s="317" t="s">
        <v>90</v>
      </c>
      <c r="O72" s="318">
        <v>46202.0</v>
      </c>
      <c r="P72" s="79"/>
      <c r="Q72" s="79"/>
    </row>
    <row r="73" hidden="1" outlineLevel="2">
      <c r="A73" s="336"/>
      <c r="B73" s="233" t="s">
        <v>523</v>
      </c>
      <c r="C73" s="337" t="s">
        <v>14</v>
      </c>
      <c r="D73" s="337" t="s">
        <v>491</v>
      </c>
      <c r="E73" s="338" t="s">
        <v>357</v>
      </c>
      <c r="F73" s="339" t="s">
        <v>524</v>
      </c>
      <c r="G73" s="340"/>
      <c r="H73" s="341" t="s">
        <v>368</v>
      </c>
      <c r="I73" s="339" t="s">
        <v>525</v>
      </c>
      <c r="J73" s="340"/>
      <c r="K73" s="335" t="str">
        <f t="array" ref="K73">IF(D73="", "", IFERROR(XLOOKUP(D73, Var!$P:$P, Var!$Q:$Q), ""))</f>
        <v>Feature Priority 1</v>
      </c>
      <c r="L73" s="338" t="s">
        <v>80</v>
      </c>
      <c r="M73" s="316" t="s">
        <v>60</v>
      </c>
      <c r="N73" s="317" t="s">
        <v>90</v>
      </c>
      <c r="O73" s="318">
        <v>46202.0</v>
      </c>
      <c r="P73" s="342"/>
      <c r="Q73" s="342"/>
    </row>
    <row r="74" hidden="1" outlineLevel="2">
      <c r="A74" s="310"/>
      <c r="B74" s="233" t="s">
        <v>526</v>
      </c>
      <c r="C74" s="311" t="s">
        <v>14</v>
      </c>
      <c r="D74" s="311" t="s">
        <v>491</v>
      </c>
      <c r="E74" s="12" t="s">
        <v>357</v>
      </c>
      <c r="F74" s="12" t="s">
        <v>527</v>
      </c>
      <c r="G74" s="12"/>
      <c r="H74" s="321" t="s">
        <v>368</v>
      </c>
      <c r="I74" s="12" t="s">
        <v>528</v>
      </c>
      <c r="J74" s="12"/>
      <c r="K74" s="314" t="str">
        <f t="array" ref="K74">IF(D74="", "", IFERROR(XLOOKUP(D74, Var!$P:$P, Var!$Q:$Q), ""))</f>
        <v>Feature Priority 1</v>
      </c>
      <c r="L74" s="315" t="s">
        <v>80</v>
      </c>
      <c r="M74" s="316" t="s">
        <v>60</v>
      </c>
      <c r="N74" s="317" t="s">
        <v>90</v>
      </c>
      <c r="O74" s="318">
        <v>46202.0</v>
      </c>
      <c r="P74" s="79"/>
      <c r="Q74" s="79"/>
    </row>
    <row r="75" hidden="1" outlineLevel="2">
      <c r="A75" s="300"/>
      <c r="B75" s="301" t="s">
        <v>507</v>
      </c>
      <c r="E75" s="302"/>
      <c r="F75" s="302"/>
      <c r="G75" s="302"/>
      <c r="H75" s="303"/>
      <c r="I75" s="302"/>
      <c r="J75" s="304"/>
      <c r="K75" s="305"/>
      <c r="L75" s="306"/>
      <c r="M75" s="305"/>
      <c r="N75" s="307"/>
      <c r="O75" s="308"/>
      <c r="P75" s="309"/>
      <c r="Q75" s="309"/>
    </row>
    <row r="76" hidden="1" outlineLevel="2">
      <c r="A76" s="310"/>
      <c r="B76" s="233" t="s">
        <v>529</v>
      </c>
      <c r="C76" s="311" t="s">
        <v>14</v>
      </c>
      <c r="D76" s="311" t="s">
        <v>491</v>
      </c>
      <c r="E76" s="12" t="s">
        <v>357</v>
      </c>
      <c r="F76" s="12" t="s">
        <v>530</v>
      </c>
      <c r="G76" s="12"/>
      <c r="H76" s="321" t="s">
        <v>368</v>
      </c>
      <c r="I76" s="12" t="s">
        <v>531</v>
      </c>
      <c r="J76" s="12"/>
      <c r="K76" s="314" t="str">
        <f t="array" ref="K76">IF(D76="", "", IFERROR(XLOOKUP(D76, Var!$P:$P, Var!$Q:$Q), ""))</f>
        <v>Feature Priority 1</v>
      </c>
      <c r="L76" s="315" t="s">
        <v>80</v>
      </c>
      <c r="M76" s="316" t="s">
        <v>60</v>
      </c>
      <c r="N76" s="317" t="s">
        <v>90</v>
      </c>
      <c r="O76" s="318">
        <v>46202.0</v>
      </c>
      <c r="P76" s="79"/>
      <c r="Q76" s="79"/>
    </row>
    <row r="77" hidden="1" outlineLevel="2">
      <c r="A77" s="336"/>
      <c r="B77" s="233" t="s">
        <v>532</v>
      </c>
      <c r="C77" s="337" t="s">
        <v>14</v>
      </c>
      <c r="D77" s="337" t="s">
        <v>491</v>
      </c>
      <c r="E77" s="338" t="s">
        <v>357</v>
      </c>
      <c r="F77" s="339" t="s">
        <v>533</v>
      </c>
      <c r="G77" s="340"/>
      <c r="H77" s="341" t="s">
        <v>368</v>
      </c>
      <c r="I77" s="339" t="s">
        <v>534</v>
      </c>
      <c r="J77" s="340"/>
      <c r="K77" s="335" t="str">
        <f t="array" ref="K77">IF(D77="", "", IFERROR(XLOOKUP(D77, Var!$P:$P, Var!$Q:$Q), ""))</f>
        <v>Feature Priority 1</v>
      </c>
      <c r="L77" s="338" t="s">
        <v>80</v>
      </c>
      <c r="M77" s="316" t="s">
        <v>60</v>
      </c>
      <c r="N77" s="317" t="s">
        <v>90</v>
      </c>
      <c r="O77" s="318">
        <v>46202.0</v>
      </c>
      <c r="P77" s="342"/>
      <c r="Q77" s="342"/>
    </row>
    <row r="78" hidden="1" outlineLevel="2">
      <c r="A78" s="310"/>
      <c r="B78" s="233" t="s">
        <v>535</v>
      </c>
      <c r="C78" s="311" t="s">
        <v>14</v>
      </c>
      <c r="D78" s="311" t="s">
        <v>491</v>
      </c>
      <c r="E78" s="12" t="s">
        <v>357</v>
      </c>
      <c r="F78" s="12" t="s">
        <v>536</v>
      </c>
      <c r="G78" s="12"/>
      <c r="H78" s="312"/>
      <c r="I78" s="12" t="s">
        <v>537</v>
      </c>
      <c r="J78" s="12"/>
      <c r="K78" s="314" t="str">
        <f t="array" ref="K78">IF(D78="", "", IFERROR(XLOOKUP(D78, Var!$P:$P, Var!$Q:$Q), ""))</f>
        <v>Feature Priority 1</v>
      </c>
      <c r="L78" s="315" t="s">
        <v>80</v>
      </c>
      <c r="M78" s="316" t="s">
        <v>60</v>
      </c>
      <c r="N78" s="317" t="s">
        <v>90</v>
      </c>
      <c r="O78" s="318">
        <v>46202.0</v>
      </c>
      <c r="P78" s="79"/>
      <c r="Q78" s="79"/>
    </row>
    <row r="79" outlineLevel="1" collapsed="1">
      <c r="A79" s="324"/>
      <c r="B79" s="325" t="s">
        <v>538</v>
      </c>
      <c r="G79" s="326"/>
      <c r="H79" s="327"/>
      <c r="I79" s="326"/>
      <c r="J79" s="328"/>
      <c r="K79" s="329"/>
      <c r="L79" s="330"/>
      <c r="M79" s="329"/>
      <c r="N79" s="331"/>
      <c r="O79" s="332"/>
      <c r="P79" s="333"/>
      <c r="Q79" s="333"/>
    </row>
    <row r="80" hidden="1" outlineLevel="2">
      <c r="A80" s="300"/>
      <c r="B80" s="301" t="s">
        <v>494</v>
      </c>
      <c r="E80" s="302"/>
      <c r="F80" s="302"/>
      <c r="G80" s="302"/>
      <c r="H80" s="303"/>
      <c r="I80" s="302"/>
      <c r="J80" s="304"/>
      <c r="K80" s="305"/>
      <c r="L80" s="306"/>
      <c r="M80" s="305"/>
      <c r="N80" s="307"/>
      <c r="O80" s="308"/>
      <c r="P80" s="309"/>
      <c r="Q80" s="309"/>
    </row>
    <row r="81" hidden="1" outlineLevel="2">
      <c r="A81" s="310"/>
      <c r="B81" s="233" t="s">
        <v>539</v>
      </c>
      <c r="C81" s="311" t="s">
        <v>14</v>
      </c>
      <c r="D81" s="311" t="s">
        <v>491</v>
      </c>
      <c r="E81" s="12" t="s">
        <v>357</v>
      </c>
      <c r="F81" s="12" t="s">
        <v>540</v>
      </c>
      <c r="G81" s="320" t="s">
        <v>367</v>
      </c>
      <c r="H81" s="321" t="s">
        <v>368</v>
      </c>
      <c r="I81" s="12" t="s">
        <v>541</v>
      </c>
      <c r="J81" s="12" t="s">
        <v>498</v>
      </c>
      <c r="K81" s="335" t="str">
        <f t="array" ref="K81">IF(D81="", "", IFERROR(XLOOKUP(D81, Var!$P:$P, Var!$Q:$Q), ""))</f>
        <v>Feature Priority 1</v>
      </c>
      <c r="L81" s="315" t="s">
        <v>80</v>
      </c>
      <c r="M81" s="316" t="s">
        <v>60</v>
      </c>
      <c r="N81" s="317" t="s">
        <v>90</v>
      </c>
      <c r="O81" s="318">
        <v>46202.0</v>
      </c>
      <c r="P81" s="79"/>
      <c r="Q81" s="79"/>
    </row>
    <row r="82" hidden="1" outlineLevel="2">
      <c r="A82" s="310"/>
      <c r="B82" s="233" t="s">
        <v>542</v>
      </c>
      <c r="C82" s="311" t="s">
        <v>14</v>
      </c>
      <c r="D82" s="311" t="s">
        <v>491</v>
      </c>
      <c r="E82" s="12" t="s">
        <v>357</v>
      </c>
      <c r="G82" s="320" t="s">
        <v>371</v>
      </c>
      <c r="H82" s="321" t="s">
        <v>368</v>
      </c>
      <c r="I82" s="12" t="s">
        <v>543</v>
      </c>
      <c r="J82" s="12"/>
      <c r="K82" s="335" t="str">
        <f t="array" ref="K82">IF(D82="", "", IFERROR(XLOOKUP(D82, Var!$P:$P, Var!$Q:$Q), ""))</f>
        <v>Feature Priority 1</v>
      </c>
      <c r="L82" s="315" t="s">
        <v>80</v>
      </c>
      <c r="M82" s="316" t="s">
        <v>60</v>
      </c>
      <c r="N82" s="317" t="s">
        <v>90</v>
      </c>
      <c r="O82" s="318">
        <v>46202.0</v>
      </c>
      <c r="P82" s="79"/>
      <c r="Q82" s="79"/>
    </row>
    <row r="83" hidden="1" outlineLevel="2">
      <c r="A83" s="336"/>
      <c r="B83" s="233" t="s">
        <v>544</v>
      </c>
      <c r="C83" s="337" t="s">
        <v>14</v>
      </c>
      <c r="D83" s="337" t="s">
        <v>491</v>
      </c>
      <c r="E83" s="338" t="s">
        <v>357</v>
      </c>
      <c r="F83" s="339" t="s">
        <v>545</v>
      </c>
      <c r="G83" s="340"/>
      <c r="H83" s="341" t="s">
        <v>368</v>
      </c>
      <c r="I83" s="339" t="s">
        <v>546</v>
      </c>
      <c r="J83" s="340"/>
      <c r="K83" s="335" t="str">
        <f t="array" ref="K83">IF(D83="", "", IFERROR(XLOOKUP(D83, Var!$P:$P, Var!$Q:$Q), ""))</f>
        <v>Feature Priority 1</v>
      </c>
      <c r="L83" s="338" t="s">
        <v>80</v>
      </c>
      <c r="M83" s="316" t="s">
        <v>60</v>
      </c>
      <c r="N83" s="317" t="s">
        <v>90</v>
      </c>
      <c r="O83" s="318">
        <v>46202.0</v>
      </c>
      <c r="P83" s="342"/>
      <c r="Q83" s="342"/>
    </row>
    <row r="84" hidden="1" outlineLevel="2">
      <c r="A84" s="310"/>
      <c r="B84" s="233" t="s">
        <v>547</v>
      </c>
      <c r="C84" s="311" t="s">
        <v>14</v>
      </c>
      <c r="D84" s="311" t="s">
        <v>491</v>
      </c>
      <c r="E84" s="12" t="s">
        <v>357</v>
      </c>
      <c r="F84" s="12" t="s">
        <v>548</v>
      </c>
      <c r="G84" s="12"/>
      <c r="H84" s="321" t="s">
        <v>368</v>
      </c>
      <c r="I84" s="12" t="s">
        <v>549</v>
      </c>
      <c r="J84" s="12"/>
      <c r="K84" s="314" t="str">
        <f t="array" ref="K84">IF(D84="", "", IFERROR(XLOOKUP(D84, Var!$P:$P, Var!$Q:$Q), ""))</f>
        <v>Feature Priority 1</v>
      </c>
      <c r="L84" s="315" t="s">
        <v>80</v>
      </c>
      <c r="M84" s="316" t="s">
        <v>60</v>
      </c>
      <c r="N84" s="317" t="s">
        <v>90</v>
      </c>
      <c r="O84" s="318">
        <v>46202.0</v>
      </c>
      <c r="P84" s="79"/>
      <c r="Q84" s="79"/>
    </row>
    <row r="85" hidden="1" outlineLevel="2">
      <c r="A85" s="300"/>
      <c r="B85" s="301" t="s">
        <v>507</v>
      </c>
      <c r="E85" s="302"/>
      <c r="F85" s="302"/>
      <c r="G85" s="302"/>
      <c r="H85" s="303"/>
      <c r="I85" s="302"/>
      <c r="J85" s="304"/>
      <c r="K85" s="305"/>
      <c r="L85" s="306"/>
      <c r="M85" s="305"/>
      <c r="N85" s="307"/>
      <c r="O85" s="308"/>
      <c r="P85" s="309"/>
      <c r="Q85" s="309"/>
    </row>
    <row r="86" hidden="1" outlineLevel="2">
      <c r="A86" s="310"/>
      <c r="B86" s="233" t="s">
        <v>550</v>
      </c>
      <c r="C86" s="311" t="s">
        <v>14</v>
      </c>
      <c r="D86" s="311" t="s">
        <v>491</v>
      </c>
      <c r="E86" s="12" t="s">
        <v>357</v>
      </c>
      <c r="F86" s="12" t="s">
        <v>551</v>
      </c>
      <c r="G86" s="12"/>
      <c r="H86" s="321" t="s">
        <v>368</v>
      </c>
      <c r="I86" s="12" t="s">
        <v>552</v>
      </c>
      <c r="J86" s="12" t="s">
        <v>498</v>
      </c>
      <c r="K86" s="314" t="str">
        <f t="array" ref="K86">IF(D86="", "", IFERROR(XLOOKUP(D86, Var!$P:$P, Var!$Q:$Q), ""))</f>
        <v>Feature Priority 1</v>
      </c>
      <c r="L86" s="315" t="s">
        <v>80</v>
      </c>
      <c r="M86" s="316" t="s">
        <v>60</v>
      </c>
      <c r="N86" s="317" t="s">
        <v>90</v>
      </c>
      <c r="O86" s="318">
        <v>46202.0</v>
      </c>
      <c r="P86" s="79"/>
      <c r="Q86" s="79"/>
    </row>
    <row r="87" hidden="1" outlineLevel="2">
      <c r="A87" s="336"/>
      <c r="B87" s="233" t="s">
        <v>553</v>
      </c>
      <c r="C87" s="337" t="s">
        <v>14</v>
      </c>
      <c r="D87" s="337" t="s">
        <v>491</v>
      </c>
      <c r="E87" s="338" t="s">
        <v>357</v>
      </c>
      <c r="F87" s="339" t="s">
        <v>554</v>
      </c>
      <c r="G87" s="340"/>
      <c r="H87" s="341" t="s">
        <v>368</v>
      </c>
      <c r="I87" s="339" t="s">
        <v>555</v>
      </c>
      <c r="J87" s="340"/>
      <c r="K87" s="335" t="str">
        <f t="array" ref="K87">IF(D87="", "", IFERROR(XLOOKUP(D87, Var!$P:$P, Var!$Q:$Q), ""))</f>
        <v>Feature Priority 1</v>
      </c>
      <c r="L87" s="338" t="s">
        <v>80</v>
      </c>
      <c r="M87" s="316" t="s">
        <v>60</v>
      </c>
      <c r="N87" s="317" t="s">
        <v>90</v>
      </c>
      <c r="O87" s="318">
        <v>46202.0</v>
      </c>
      <c r="P87" s="342"/>
      <c r="Q87" s="342"/>
    </row>
    <row r="88" hidden="1" outlineLevel="2">
      <c r="A88" s="310"/>
      <c r="B88" s="233" t="s">
        <v>556</v>
      </c>
      <c r="C88" s="311" t="s">
        <v>14</v>
      </c>
      <c r="D88" s="311" t="s">
        <v>491</v>
      </c>
      <c r="E88" s="12" t="s">
        <v>357</v>
      </c>
      <c r="F88" s="12" t="s">
        <v>557</v>
      </c>
      <c r="G88" s="12"/>
      <c r="H88" s="312"/>
      <c r="I88" s="12" t="s">
        <v>558</v>
      </c>
      <c r="J88" s="12"/>
      <c r="K88" s="314" t="str">
        <f t="array" ref="K88">IF(D88="", "", IFERROR(XLOOKUP(D88, Var!$P:$P, Var!$Q:$Q), ""))</f>
        <v>Feature Priority 1</v>
      </c>
      <c r="L88" s="315" t="s">
        <v>80</v>
      </c>
      <c r="M88" s="316" t="s">
        <v>60</v>
      </c>
      <c r="N88" s="317" t="s">
        <v>90</v>
      </c>
      <c r="O88" s="318">
        <v>46202.0</v>
      </c>
      <c r="P88" s="79"/>
      <c r="Q88" s="79"/>
    </row>
    <row r="89">
      <c r="A89" s="289"/>
      <c r="B89" s="290" t="s">
        <v>559</v>
      </c>
      <c r="C89" s="291"/>
      <c r="D89" s="292"/>
      <c r="E89" s="293"/>
      <c r="F89" s="294" t="s">
        <v>560</v>
      </c>
      <c r="G89" s="323"/>
      <c r="H89" s="292"/>
      <c r="I89" s="292"/>
      <c r="J89" s="297"/>
      <c r="K89" s="298"/>
      <c r="L89" s="298"/>
      <c r="M89" s="298"/>
      <c r="N89" s="291"/>
      <c r="O89" s="299"/>
      <c r="P89" s="291"/>
      <c r="Q89" s="291"/>
    </row>
    <row r="90" outlineLevel="2">
      <c r="A90" s="300"/>
      <c r="B90" s="301" t="s">
        <v>561</v>
      </c>
      <c r="E90" s="302"/>
      <c r="F90" s="302"/>
      <c r="G90" s="302"/>
      <c r="H90" s="303"/>
      <c r="I90" s="302"/>
      <c r="J90" s="304"/>
      <c r="K90" s="305"/>
      <c r="L90" s="306"/>
      <c r="M90" s="305"/>
      <c r="N90" s="307"/>
      <c r="O90" s="308"/>
      <c r="P90" s="309"/>
      <c r="Q90" s="309"/>
    </row>
    <row r="91" outlineLevel="2">
      <c r="A91" s="310"/>
      <c r="B91" s="233" t="s">
        <v>562</v>
      </c>
      <c r="C91" s="311" t="s">
        <v>14</v>
      </c>
      <c r="D91" s="311" t="s">
        <v>559</v>
      </c>
      <c r="E91" s="12" t="s">
        <v>357</v>
      </c>
      <c r="F91" s="12" t="s">
        <v>563</v>
      </c>
      <c r="G91" s="12"/>
      <c r="H91" s="312" t="s">
        <v>564</v>
      </c>
      <c r="I91" s="12" t="s">
        <v>565</v>
      </c>
      <c r="J91" s="12"/>
      <c r="K91" s="314"/>
      <c r="L91" s="315" t="s">
        <v>80</v>
      </c>
      <c r="M91" s="316" t="s">
        <v>64</v>
      </c>
      <c r="N91" s="317" t="s">
        <v>90</v>
      </c>
      <c r="O91" s="318">
        <v>46205.0</v>
      </c>
      <c r="P91" s="79"/>
      <c r="Q91" s="79"/>
    </row>
    <row r="92" outlineLevel="2">
      <c r="A92" s="310"/>
      <c r="B92" s="233" t="s">
        <v>566</v>
      </c>
      <c r="C92" s="311" t="s">
        <v>14</v>
      </c>
      <c r="D92" s="311" t="s">
        <v>559</v>
      </c>
      <c r="E92" s="12" t="s">
        <v>357</v>
      </c>
      <c r="F92" s="12" t="s">
        <v>567</v>
      </c>
      <c r="G92" s="320" t="s">
        <v>367</v>
      </c>
      <c r="H92" s="321"/>
      <c r="I92" s="12" t="s">
        <v>568</v>
      </c>
      <c r="J92" s="12"/>
      <c r="K92" s="314"/>
      <c r="L92" s="315" t="s">
        <v>80</v>
      </c>
      <c r="M92" s="316" t="s">
        <v>64</v>
      </c>
      <c r="N92" s="317" t="s">
        <v>90</v>
      </c>
      <c r="O92" s="318">
        <v>46205.0</v>
      </c>
      <c r="P92" s="79"/>
      <c r="Q92" s="79"/>
    </row>
    <row r="93" outlineLevel="2">
      <c r="A93" s="310"/>
      <c r="B93" s="233" t="s">
        <v>569</v>
      </c>
      <c r="C93" s="311" t="s">
        <v>14</v>
      </c>
      <c r="D93" s="311" t="s">
        <v>559</v>
      </c>
      <c r="E93" s="12" t="s">
        <v>357</v>
      </c>
      <c r="G93" s="320" t="s">
        <v>371</v>
      </c>
      <c r="H93" s="321"/>
      <c r="I93" s="12" t="s">
        <v>570</v>
      </c>
      <c r="J93" s="12"/>
      <c r="K93" s="314"/>
      <c r="L93" s="315" t="s">
        <v>80</v>
      </c>
      <c r="M93" s="316" t="s">
        <v>64</v>
      </c>
      <c r="N93" s="317" t="s">
        <v>90</v>
      </c>
      <c r="O93" s="318">
        <v>46205.0</v>
      </c>
      <c r="P93" s="79"/>
      <c r="Q93" s="79"/>
    </row>
    <row r="94" outlineLevel="2">
      <c r="A94" s="310"/>
      <c r="B94" s="233" t="s">
        <v>571</v>
      </c>
      <c r="C94" s="311" t="s">
        <v>14</v>
      </c>
      <c r="D94" s="311" t="s">
        <v>559</v>
      </c>
      <c r="E94" s="12" t="s">
        <v>357</v>
      </c>
      <c r="F94" s="12" t="s">
        <v>572</v>
      </c>
      <c r="G94" s="320" t="s">
        <v>367</v>
      </c>
      <c r="H94" s="321"/>
      <c r="I94" s="12" t="s">
        <v>573</v>
      </c>
      <c r="J94" s="12"/>
      <c r="K94" s="314"/>
      <c r="L94" s="315" t="s">
        <v>80</v>
      </c>
      <c r="M94" s="316" t="s">
        <v>64</v>
      </c>
      <c r="N94" s="317" t="s">
        <v>90</v>
      </c>
      <c r="O94" s="318">
        <v>46205.0</v>
      </c>
      <c r="P94" s="79"/>
      <c r="Q94" s="79"/>
    </row>
    <row r="95" outlineLevel="2">
      <c r="A95" s="310"/>
      <c r="B95" s="233" t="s">
        <v>574</v>
      </c>
      <c r="C95" s="311" t="s">
        <v>14</v>
      </c>
      <c r="D95" s="311" t="s">
        <v>559</v>
      </c>
      <c r="E95" s="12" t="s">
        <v>357</v>
      </c>
      <c r="G95" s="320" t="s">
        <v>371</v>
      </c>
      <c r="H95" s="321"/>
      <c r="I95" s="12" t="s">
        <v>575</v>
      </c>
      <c r="J95" s="12"/>
      <c r="K95" s="314"/>
      <c r="L95" s="315" t="s">
        <v>80</v>
      </c>
      <c r="M95" s="316" t="s">
        <v>64</v>
      </c>
      <c r="N95" s="317" t="s">
        <v>90</v>
      </c>
      <c r="O95" s="318">
        <v>46205.0</v>
      </c>
      <c r="P95" s="79"/>
      <c r="Q95" s="79"/>
    </row>
    <row r="96" outlineLevel="2">
      <c r="A96" s="310"/>
      <c r="B96" s="233" t="s">
        <v>576</v>
      </c>
      <c r="C96" s="311" t="s">
        <v>14</v>
      </c>
      <c r="D96" s="311" t="s">
        <v>559</v>
      </c>
      <c r="E96" s="12" t="s">
        <v>357</v>
      </c>
      <c r="F96" s="12" t="s">
        <v>577</v>
      </c>
      <c r="G96" s="320" t="s">
        <v>367</v>
      </c>
      <c r="H96" s="321"/>
      <c r="I96" s="12" t="s">
        <v>578</v>
      </c>
      <c r="J96" s="12"/>
      <c r="K96" s="314"/>
      <c r="L96" s="315" t="s">
        <v>80</v>
      </c>
      <c r="M96" s="316" t="s">
        <v>64</v>
      </c>
      <c r="N96" s="317" t="s">
        <v>90</v>
      </c>
      <c r="O96" s="318">
        <v>46205.0</v>
      </c>
      <c r="P96" s="79"/>
      <c r="Q96" s="79"/>
    </row>
    <row r="97" outlineLevel="2">
      <c r="A97" s="310"/>
      <c r="B97" s="233" t="s">
        <v>579</v>
      </c>
      <c r="C97" s="311" t="s">
        <v>14</v>
      </c>
      <c r="D97" s="311" t="s">
        <v>559</v>
      </c>
      <c r="E97" s="12" t="s">
        <v>357</v>
      </c>
      <c r="G97" s="320" t="s">
        <v>371</v>
      </c>
      <c r="H97" s="321"/>
      <c r="I97" s="12" t="s">
        <v>580</v>
      </c>
      <c r="J97" s="12"/>
      <c r="K97" s="314"/>
      <c r="L97" s="315" t="s">
        <v>80</v>
      </c>
      <c r="M97" s="316" t="s">
        <v>64</v>
      </c>
      <c r="N97" s="317" t="s">
        <v>90</v>
      </c>
      <c r="O97" s="318">
        <v>46205.0</v>
      </c>
      <c r="P97" s="79"/>
      <c r="Q97" s="79"/>
    </row>
    <row r="98" outlineLevel="2">
      <c r="A98" s="310"/>
      <c r="B98" s="233" t="s">
        <v>581</v>
      </c>
      <c r="C98" s="311" t="s">
        <v>14</v>
      </c>
      <c r="D98" s="311" t="s">
        <v>559</v>
      </c>
      <c r="E98" s="12" t="s">
        <v>357</v>
      </c>
      <c r="F98" s="12" t="s">
        <v>582</v>
      </c>
      <c r="G98" s="320" t="s">
        <v>367</v>
      </c>
      <c r="H98" s="321"/>
      <c r="I98" s="12" t="s">
        <v>583</v>
      </c>
      <c r="J98" s="12"/>
      <c r="K98" s="314"/>
      <c r="L98" s="315" t="s">
        <v>80</v>
      </c>
      <c r="M98" s="316" t="s">
        <v>64</v>
      </c>
      <c r="N98" s="317" t="s">
        <v>90</v>
      </c>
      <c r="O98" s="318">
        <v>46205.0</v>
      </c>
      <c r="P98" s="79"/>
      <c r="Q98" s="79"/>
    </row>
    <row r="99" outlineLevel="2">
      <c r="A99" s="310"/>
      <c r="B99" s="233" t="s">
        <v>584</v>
      </c>
      <c r="C99" s="311" t="s">
        <v>14</v>
      </c>
      <c r="D99" s="311" t="s">
        <v>559</v>
      </c>
      <c r="E99" s="12" t="s">
        <v>357</v>
      </c>
      <c r="G99" s="320" t="s">
        <v>371</v>
      </c>
      <c r="H99" s="321"/>
      <c r="I99" s="12" t="s">
        <v>585</v>
      </c>
      <c r="J99" s="12"/>
      <c r="K99" s="314"/>
      <c r="L99" s="315" t="s">
        <v>80</v>
      </c>
      <c r="M99" s="316" t="s">
        <v>64</v>
      </c>
      <c r="N99" s="317" t="s">
        <v>90</v>
      </c>
      <c r="O99" s="318">
        <v>46205.0</v>
      </c>
      <c r="P99" s="79"/>
      <c r="Q99" s="79"/>
    </row>
    <row r="100" outlineLevel="2">
      <c r="A100" s="310"/>
      <c r="B100" s="233" t="s">
        <v>586</v>
      </c>
      <c r="C100" s="311" t="s">
        <v>14</v>
      </c>
      <c r="D100" s="311" t="s">
        <v>559</v>
      </c>
      <c r="E100" s="12" t="s">
        <v>357</v>
      </c>
      <c r="F100" s="12" t="s">
        <v>587</v>
      </c>
      <c r="G100" s="320" t="s">
        <v>367</v>
      </c>
      <c r="H100" s="321"/>
      <c r="I100" s="12" t="s">
        <v>588</v>
      </c>
      <c r="J100" s="12"/>
      <c r="K100" s="314"/>
      <c r="L100" s="315" t="s">
        <v>80</v>
      </c>
      <c r="M100" s="316" t="s">
        <v>64</v>
      </c>
      <c r="N100" s="317" t="s">
        <v>90</v>
      </c>
      <c r="O100" s="318">
        <v>46205.0</v>
      </c>
      <c r="P100" s="79"/>
      <c r="Q100" s="79"/>
    </row>
    <row r="101" outlineLevel="2">
      <c r="A101" s="310"/>
      <c r="B101" s="233" t="s">
        <v>589</v>
      </c>
      <c r="C101" s="311" t="s">
        <v>14</v>
      </c>
      <c r="D101" s="311" t="s">
        <v>559</v>
      </c>
      <c r="E101" s="12" t="s">
        <v>357</v>
      </c>
      <c r="F101" s="12" t="s">
        <v>590</v>
      </c>
      <c r="G101" s="12"/>
      <c r="H101" s="312"/>
      <c r="I101" s="12" t="s">
        <v>591</v>
      </c>
      <c r="J101" s="12"/>
      <c r="K101" s="314"/>
      <c r="L101" s="315" t="s">
        <v>80</v>
      </c>
      <c r="M101" s="316" t="s">
        <v>64</v>
      </c>
      <c r="N101" s="317" t="s">
        <v>90</v>
      </c>
      <c r="O101" s="318">
        <v>46205.0</v>
      </c>
      <c r="P101" s="79"/>
      <c r="Q101" s="79"/>
    </row>
    <row r="102" outlineLevel="2">
      <c r="A102" s="300"/>
      <c r="B102" s="301" t="s">
        <v>592</v>
      </c>
      <c r="E102" s="302"/>
      <c r="F102" s="302"/>
      <c r="G102" s="302"/>
      <c r="H102" s="303"/>
      <c r="I102" s="302"/>
      <c r="J102" s="304"/>
      <c r="K102" s="305"/>
      <c r="L102" s="306"/>
      <c r="M102" s="305"/>
      <c r="N102" s="307"/>
      <c r="O102" s="308"/>
      <c r="P102" s="309"/>
      <c r="Q102" s="309"/>
    </row>
    <row r="103" outlineLevel="2">
      <c r="A103" s="310"/>
      <c r="B103" s="233" t="s">
        <v>593</v>
      </c>
      <c r="C103" s="311" t="s">
        <v>14</v>
      </c>
      <c r="D103" s="311" t="s">
        <v>559</v>
      </c>
      <c r="E103" s="12" t="s">
        <v>357</v>
      </c>
      <c r="F103" s="12" t="s">
        <v>594</v>
      </c>
      <c r="G103" s="12"/>
      <c r="H103" s="321" t="s">
        <v>368</v>
      </c>
      <c r="I103" s="12" t="s">
        <v>595</v>
      </c>
      <c r="J103" s="12"/>
      <c r="K103" s="314"/>
      <c r="L103" s="315" t="s">
        <v>80</v>
      </c>
      <c r="M103" s="316" t="s">
        <v>64</v>
      </c>
      <c r="N103" s="317" t="s">
        <v>90</v>
      </c>
      <c r="O103" s="318">
        <v>46205.0</v>
      </c>
      <c r="P103" s="79"/>
      <c r="Q103" s="79"/>
    </row>
  </sheetData>
  <autoFilter ref="$A$3:$Q$18"/>
  <mergeCells count="42">
    <mergeCell ref="B5:D5"/>
    <mergeCell ref="F8:F9"/>
    <mergeCell ref="F10:F11"/>
    <mergeCell ref="F12:F13"/>
    <mergeCell ref="F14:F15"/>
    <mergeCell ref="B19:D19"/>
    <mergeCell ref="B26:D26"/>
    <mergeCell ref="F39:F40"/>
    <mergeCell ref="F48:F49"/>
    <mergeCell ref="F54:F55"/>
    <mergeCell ref="F61:F62"/>
    <mergeCell ref="F16:F17"/>
    <mergeCell ref="F27:F28"/>
    <mergeCell ref="F29:F30"/>
    <mergeCell ref="F31:F32"/>
    <mergeCell ref="F33:F34"/>
    <mergeCell ref="F35:F36"/>
    <mergeCell ref="F37:F38"/>
    <mergeCell ref="B42:D42"/>
    <mergeCell ref="B46:F46"/>
    <mergeCell ref="B47:D47"/>
    <mergeCell ref="B50:D50"/>
    <mergeCell ref="B52:F52"/>
    <mergeCell ref="B53:D53"/>
    <mergeCell ref="B56:D56"/>
    <mergeCell ref="B59:F59"/>
    <mergeCell ref="B60:D60"/>
    <mergeCell ref="B65:D65"/>
    <mergeCell ref="B69:F69"/>
    <mergeCell ref="B70:D70"/>
    <mergeCell ref="F71:F72"/>
    <mergeCell ref="B75:D75"/>
    <mergeCell ref="F96:F97"/>
    <mergeCell ref="F98:F99"/>
    <mergeCell ref="B102:D102"/>
    <mergeCell ref="B79:F79"/>
    <mergeCell ref="B80:D80"/>
    <mergeCell ref="F81:F82"/>
    <mergeCell ref="B85:D85"/>
    <mergeCell ref="B90:D90"/>
    <mergeCell ref="F92:F93"/>
    <mergeCell ref="F94:F95"/>
  </mergeCells>
  <conditionalFormatting sqref="A1:A103 K1:M103">
    <cfRule type="cellIs" dxfId="3" priority="1" operator="equal">
      <formula>"Passed"</formula>
    </cfRule>
  </conditionalFormatting>
  <conditionalFormatting sqref="A1:A103 K1:M103">
    <cfRule type="cellIs" dxfId="4" priority="2" operator="equal">
      <formula>"Cancelled"</formula>
    </cfRule>
  </conditionalFormatting>
  <conditionalFormatting sqref="A1:A103 K1:M103">
    <cfRule type="cellIs" dxfId="1" priority="3" operator="equal">
      <formula>"Pending"</formula>
    </cfRule>
  </conditionalFormatting>
  <conditionalFormatting sqref="A1:A103 K1:M103">
    <cfRule type="cellIs" dxfId="10" priority="4" operator="equal">
      <formula>"Failed"</formula>
    </cfRule>
  </conditionalFormatting>
  <conditionalFormatting sqref="A1:A103 K1:M103">
    <cfRule type="cellIs" dxfId="0" priority="5" operator="equal">
      <formula>"In Progress"</formula>
    </cfRule>
  </conditionalFormatting>
  <conditionalFormatting sqref="A1:A103 K1:M103">
    <cfRule type="cellIs" dxfId="11" priority="6" operator="equal">
      <formula>"Not Start"</formula>
    </cfRule>
  </conditionalFormatting>
  <conditionalFormatting sqref="A1:A103 K1:M103">
    <cfRule type="cellIs" dxfId="12" priority="7" operator="equal">
      <formula>"Passed with Condition"</formula>
    </cfRule>
  </conditionalFormatting>
  <dataValidations>
    <dataValidation type="list" allowBlank="1" sqref="M5:M24 M26:M57 M59:M88 M90:M103">
      <formula1>Var!$B$3:$B$10</formula1>
    </dataValidation>
    <dataValidation type="list" allowBlank="1" showErrorMessage="1" sqref="D6:D18 D20:D24 D27:D41 D43:D45 D48:D49 D51 D54:D55 D57 D61:D64 D66:D68 D71:D74 D76:D78 D81:D84 D86:D88 D91:D101 D103">
      <formula1>Var!$P$2:$P103</formula1>
    </dataValidation>
    <dataValidation type="list" allowBlank="1" showErrorMessage="1" sqref="L5:L24 L26:L57 L59:L88 L90:L103">
      <formula1>"High,Medium,Low"</formula1>
    </dataValidation>
    <dataValidation type="custom" allowBlank="1" showDropDown="1" showErrorMessage="1" sqref="O4:O103">
      <formula1>OR(NOT(ISERROR(DATEVALUE(O4))), AND(ISNUMBER(O4), LEFT(CELL("format", O4))="D"))</formula1>
    </dataValidation>
    <dataValidation type="list" allowBlank="1" showErrorMessage="1" sqref="E5:E24 E26:E45 E47:E51 E53:E57 E60:E68 E70:E78 E80:E88 E90:E103">
      <formula1>Var!$R$2:$R$14</formula1>
    </dataValidation>
    <dataValidation type="list" allowBlank="1" showErrorMessage="1" sqref="C6:C18 C20:C24 C27:C41 C43:C45 C48:C49 C51 C54:C55 C57 C61:C64 C66:C68 C71:C74 C76:C78 C81:C84 C86:C88 C91:C101 C103">
      <formula1>Var!$O$2:$O103</formula1>
    </dataValidation>
  </dataValidations>
  <hyperlinks>
    <hyperlink r:id="rId1" ref="F4"/>
    <hyperlink r:id="rId2" location="gid=1689217702" ref="Q6"/>
    <hyperlink r:id="rId3" ref="F25"/>
    <hyperlink r:id="rId4" ref="F58"/>
    <hyperlink r:id="rId5" ref="F89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6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3.0" topLeftCell="E4" activePane="bottomRight" state="frozen"/>
      <selection activeCell="E1" sqref="E1" pane="topRight"/>
      <selection activeCell="A4" sqref="A4" pane="bottomLeft"/>
      <selection activeCell="E4" sqref="E4" pane="bottomRight"/>
    </sheetView>
  </sheetViews>
  <sheetFormatPr customHeight="1" defaultColWidth="12.63" defaultRowHeight="15.0"/>
  <cols>
    <col customWidth="1" min="1" max="1" width="16.0"/>
    <col customWidth="1" min="2" max="2" width="23.63"/>
    <col customWidth="1" min="3" max="3" width="7.38"/>
    <col customWidth="1" min="4" max="4" width="9.5"/>
    <col customWidth="1" min="5" max="5" width="6.75"/>
    <col customWidth="1" min="6" max="6" width="7.38"/>
    <col customWidth="1" min="7" max="7" width="15.63"/>
    <col customWidth="1" min="8" max="8" width="6.13"/>
    <col customWidth="1" min="9" max="9" width="25.0"/>
    <col customWidth="1" min="10" max="10" width="29.63"/>
    <col customWidth="1" min="11" max="25" width="7.38"/>
  </cols>
  <sheetData>
    <row r="1">
      <c r="A1" s="343" t="s">
        <v>596</v>
      </c>
      <c r="B1" s="344"/>
      <c r="C1" s="345" t="s">
        <v>597</v>
      </c>
      <c r="D1" s="346"/>
      <c r="E1" s="346"/>
      <c r="F1" s="347"/>
      <c r="G1" s="347"/>
      <c r="H1" s="347"/>
      <c r="I1" s="347"/>
      <c r="J1" s="347"/>
      <c r="K1" s="347"/>
      <c r="L1" s="348"/>
      <c r="M1" s="347"/>
      <c r="N1" s="347"/>
      <c r="O1" s="347"/>
      <c r="P1" s="347"/>
      <c r="Q1" s="347"/>
      <c r="R1" s="347"/>
      <c r="S1" s="347"/>
      <c r="T1" s="347"/>
      <c r="U1" s="347"/>
      <c r="V1" s="347"/>
      <c r="W1" s="347"/>
      <c r="X1" s="347"/>
      <c r="Y1" s="347"/>
    </row>
    <row r="2" ht="29.25" customHeight="1">
      <c r="A2" s="349" t="s">
        <v>598</v>
      </c>
      <c r="B2" s="350"/>
      <c r="C2" s="351" t="s">
        <v>599</v>
      </c>
      <c r="D2" s="352"/>
      <c r="E2" s="352"/>
      <c r="F2" s="352"/>
      <c r="G2" s="352"/>
      <c r="H2" s="352"/>
      <c r="I2" s="352"/>
      <c r="J2" s="352"/>
      <c r="K2" s="352"/>
      <c r="L2" s="350"/>
      <c r="M2" s="350"/>
      <c r="N2" s="350"/>
      <c r="O2" s="350"/>
      <c r="P2" s="350"/>
      <c r="Q2" s="350"/>
      <c r="R2" s="350"/>
      <c r="S2" s="350"/>
      <c r="T2" s="350"/>
      <c r="U2" s="350"/>
      <c r="V2" s="350"/>
      <c r="W2" s="350"/>
      <c r="X2" s="350"/>
      <c r="Y2" s="350"/>
    </row>
    <row r="3">
      <c r="A3" s="353" t="s">
        <v>600</v>
      </c>
      <c r="B3" s="354" t="s">
        <v>601</v>
      </c>
      <c r="C3" s="353" t="s">
        <v>602</v>
      </c>
      <c r="D3" s="353" t="s">
        <v>603</v>
      </c>
      <c r="E3" s="353" t="s">
        <v>604</v>
      </c>
      <c r="F3" s="353" t="s">
        <v>605</v>
      </c>
      <c r="G3" s="353" t="s">
        <v>606</v>
      </c>
      <c r="H3" s="353" t="s">
        <v>607</v>
      </c>
      <c r="I3" s="353" t="s">
        <v>608</v>
      </c>
      <c r="J3" s="353" t="s">
        <v>609</v>
      </c>
      <c r="K3" s="353" t="s">
        <v>610</v>
      </c>
      <c r="L3" s="353" t="s">
        <v>611</v>
      </c>
      <c r="M3" s="353" t="s">
        <v>612</v>
      </c>
      <c r="N3" s="353" t="s">
        <v>613</v>
      </c>
      <c r="O3" s="353" t="s">
        <v>614</v>
      </c>
      <c r="P3" s="353" t="s">
        <v>615</v>
      </c>
      <c r="Q3" s="353" t="s">
        <v>616</v>
      </c>
      <c r="R3" s="353" t="s">
        <v>617</v>
      </c>
      <c r="S3" s="353" t="s">
        <v>618</v>
      </c>
      <c r="T3" s="353" t="s">
        <v>619</v>
      </c>
      <c r="U3" s="353" t="s">
        <v>620</v>
      </c>
      <c r="V3" s="353" t="s">
        <v>621</v>
      </c>
      <c r="W3" s="353" t="s">
        <v>622</v>
      </c>
      <c r="X3" s="353" t="s">
        <v>623</v>
      </c>
      <c r="Y3" s="353" t="s">
        <v>624</v>
      </c>
    </row>
    <row r="4">
      <c r="A4" s="38" t="str">
        <f>IFERROR(__xludf.DUMMYFUNCTION("LET(
  url, ""https://docs.google.com/spreadsheets/d/1aQvBSBqzTssy3xc8GrcZkgkGHZrsM_cM_Jx0QN_s8Og"",
  headRange, ""All_Redmine!A1:Y1"",
  dataRange, ""All_Redmine!A3:Y"",
  headers, INDEX(IMPORTRANGE(url, headRange), 1, ),
  data,    IMPORTRANGE(url, da"&amp;"taRange),
  tokens, {""id"",""project"",""tracker"",""status"",""priority"",""author"",""assigned_to"",""parent"",""subject"",""description"",""start_date"",""due_date"",""done_ratio"",""is_private"",""estimated_hours"",""total_estimated_hours"",""spent_"&amp;"hours"",""total_spent_hours"",""created_on"",""updated_on"",""closed_on"",""root_cause"",""screen"",""phase""},
  q_raw, IF(LEN(C2), "" ""&amp;C2, """"),
  q_map,
    REDUCE(
      q_raw,
      tokens,
      LAMBDA(acc, t,
        LET(
          idx, IFERRO"&amp;"R(MATCH(t, headers, 0), 0),
          IF(idx, SUBSTITUTE(acc, t, ""Col""&amp;idx), acc)
        )
      )
    ),
  QUERY(data, ""select *""&amp;q_map, 0)
)
"),"#REF!")</f>
        <v>#REF!</v>
      </c>
      <c r="B4" s="350"/>
      <c r="C4" s="350"/>
      <c r="D4" s="350"/>
      <c r="E4" s="38"/>
      <c r="F4" s="350"/>
      <c r="G4" s="350"/>
      <c r="H4" s="350"/>
      <c r="I4" s="355"/>
      <c r="J4" s="355"/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</row>
    <row r="5">
      <c r="A5" s="38"/>
      <c r="B5" s="350"/>
      <c r="C5" s="350"/>
      <c r="D5" s="38"/>
      <c r="E5" s="38"/>
      <c r="F5" s="350"/>
      <c r="G5" s="350"/>
      <c r="H5" s="350"/>
      <c r="I5" s="355"/>
      <c r="J5" s="355"/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</row>
    <row r="6">
      <c r="A6" s="38"/>
      <c r="B6" s="350"/>
      <c r="C6" s="350"/>
      <c r="D6" s="38"/>
      <c r="E6" s="38"/>
      <c r="F6" s="350"/>
      <c r="G6" s="350"/>
      <c r="H6" s="350"/>
      <c r="I6" s="355"/>
      <c r="J6" s="355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>
      <c r="A7" s="38"/>
      <c r="B7" s="350"/>
      <c r="C7" s="350"/>
      <c r="D7" s="38"/>
      <c r="E7" s="38"/>
      <c r="F7" s="350"/>
      <c r="G7" s="350"/>
      <c r="H7" s="350"/>
      <c r="I7" s="355"/>
      <c r="J7" s="355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>
      <c r="A8" s="38"/>
      <c r="B8" s="350"/>
      <c r="C8" s="350"/>
      <c r="D8" s="38"/>
      <c r="E8" s="38"/>
      <c r="F8" s="350"/>
      <c r="G8" s="350"/>
      <c r="H8" s="350"/>
      <c r="I8" s="355"/>
      <c r="J8" s="355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>
      <c r="A9" s="350"/>
      <c r="B9" s="350"/>
      <c r="C9" s="350"/>
      <c r="D9" s="38"/>
      <c r="E9" s="38"/>
      <c r="F9" s="350"/>
      <c r="G9" s="350"/>
      <c r="H9" s="350"/>
      <c r="I9" s="355"/>
      <c r="J9" s="355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</row>
    <row r="10">
      <c r="A10" s="350"/>
      <c r="B10" s="350"/>
      <c r="C10" s="350"/>
      <c r="D10" s="38"/>
      <c r="E10" s="38"/>
      <c r="F10" s="350"/>
      <c r="G10" s="350"/>
      <c r="H10" s="350"/>
      <c r="I10" s="355"/>
      <c r="J10" s="355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</row>
    <row r="11">
      <c r="A11" s="350"/>
      <c r="B11" s="350"/>
      <c r="C11" s="350"/>
      <c r="D11" s="38"/>
      <c r="E11" s="38"/>
      <c r="F11" s="350"/>
      <c r="G11" s="350"/>
      <c r="H11" s="350"/>
      <c r="I11" s="355"/>
      <c r="J11" s="355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</row>
    <row r="12">
      <c r="A12" s="350"/>
      <c r="B12" s="350"/>
      <c r="C12" s="350"/>
      <c r="D12" s="38"/>
      <c r="E12" s="38"/>
      <c r="F12" s="350"/>
      <c r="G12" s="350"/>
      <c r="H12" s="350"/>
      <c r="I12" s="355"/>
      <c r="J12" s="355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</row>
    <row r="13">
      <c r="A13" s="350"/>
      <c r="B13" s="350"/>
      <c r="C13" s="350"/>
      <c r="D13" s="38"/>
      <c r="E13" s="38"/>
      <c r="F13" s="350"/>
      <c r="G13" s="350"/>
      <c r="H13" s="350"/>
      <c r="I13" s="355"/>
      <c r="J13" s="355"/>
      <c r="K13" s="38"/>
      <c r="L13" s="38"/>
      <c r="M13" s="38"/>
      <c r="N13" s="38"/>
      <c r="O13" s="38"/>
      <c r="P13" s="38"/>
      <c r="Q13" s="38"/>
      <c r="R13" s="38"/>
      <c r="S13" s="38"/>
      <c r="T13" s="38"/>
      <c r="U13" s="38"/>
      <c r="V13" s="38"/>
      <c r="W13" s="38"/>
      <c r="X13" s="38"/>
      <c r="Y13" s="38"/>
    </row>
    <row r="14">
      <c r="A14" s="350"/>
      <c r="B14" s="350"/>
      <c r="C14" s="350"/>
      <c r="D14" s="38"/>
      <c r="E14" s="38"/>
      <c r="F14" s="350"/>
      <c r="G14" s="350"/>
      <c r="H14" s="350"/>
      <c r="I14" s="355"/>
      <c r="J14" s="355"/>
      <c r="K14" s="38"/>
      <c r="L14" s="38"/>
      <c r="M14" s="38"/>
      <c r="N14" s="38"/>
      <c r="O14" s="38"/>
      <c r="P14" s="38"/>
      <c r="Q14" s="38"/>
      <c r="R14" s="38"/>
      <c r="S14" s="38"/>
      <c r="T14" s="38"/>
      <c r="U14" s="38"/>
      <c r="V14" s="38"/>
      <c r="W14" s="38"/>
      <c r="X14" s="38"/>
      <c r="Y14" s="38"/>
    </row>
    <row r="15">
      <c r="A15" s="350"/>
      <c r="B15" s="350"/>
      <c r="C15" s="350"/>
      <c r="D15" s="38"/>
      <c r="E15" s="38"/>
      <c r="F15" s="350"/>
      <c r="G15" s="350"/>
      <c r="H15" s="350"/>
      <c r="I15" s="355"/>
      <c r="J15" s="355"/>
      <c r="K15" s="38"/>
      <c r="L15" s="38"/>
      <c r="M15" s="38"/>
      <c r="N15" s="38"/>
      <c r="O15" s="38"/>
      <c r="P15" s="38"/>
      <c r="Q15" s="38"/>
      <c r="R15" s="38"/>
      <c r="S15" s="38"/>
      <c r="T15" s="38"/>
      <c r="U15" s="38"/>
      <c r="V15" s="38"/>
      <c r="W15" s="38"/>
      <c r="X15" s="38"/>
      <c r="Y15" s="38"/>
    </row>
    <row r="16">
      <c r="A16" s="350"/>
      <c r="B16" s="350"/>
      <c r="C16" s="350"/>
      <c r="D16" s="38"/>
      <c r="E16" s="38"/>
      <c r="F16" s="350"/>
      <c r="G16" s="350"/>
      <c r="H16" s="350"/>
      <c r="I16" s="355"/>
      <c r="J16" s="355"/>
      <c r="K16" s="38"/>
      <c r="L16" s="38"/>
      <c r="M16" s="38"/>
      <c r="N16" s="38"/>
      <c r="O16" s="38"/>
      <c r="P16" s="38"/>
      <c r="Q16" s="38"/>
      <c r="R16" s="38"/>
      <c r="S16" s="38"/>
      <c r="T16" s="38"/>
      <c r="U16" s="38"/>
      <c r="V16" s="38"/>
      <c r="W16" s="38"/>
      <c r="X16" s="38"/>
      <c r="Y16" s="38"/>
    </row>
    <row r="17">
      <c r="A17" s="350"/>
      <c r="B17" s="350"/>
      <c r="C17" s="350"/>
      <c r="D17" s="38"/>
      <c r="E17" s="38"/>
      <c r="F17" s="350"/>
      <c r="G17" s="350"/>
      <c r="H17" s="350"/>
      <c r="I17" s="355"/>
      <c r="J17" s="355"/>
      <c r="K17" s="38"/>
      <c r="L17" s="38"/>
      <c r="M17" s="38"/>
      <c r="N17" s="38"/>
      <c r="O17" s="38"/>
      <c r="P17" s="38"/>
      <c r="Q17" s="38"/>
      <c r="R17" s="38"/>
      <c r="S17" s="38"/>
      <c r="T17" s="38"/>
      <c r="U17" s="38"/>
      <c r="V17" s="38"/>
      <c r="W17" s="38"/>
      <c r="X17" s="38"/>
      <c r="Y17" s="38"/>
    </row>
    <row r="18">
      <c r="A18" s="38"/>
      <c r="B18" s="350"/>
      <c r="C18" s="350"/>
      <c r="D18" s="38"/>
      <c r="E18" s="38"/>
      <c r="F18" s="350"/>
      <c r="G18" s="350"/>
      <c r="H18" s="350"/>
      <c r="I18" s="355"/>
      <c r="J18" s="355"/>
      <c r="K18" s="355"/>
      <c r="L18" s="355"/>
      <c r="M18" s="355"/>
      <c r="N18" s="355"/>
      <c r="O18" s="355"/>
      <c r="P18" s="355"/>
      <c r="Q18" s="355"/>
      <c r="R18" s="355"/>
      <c r="S18" s="355"/>
      <c r="T18" s="355"/>
      <c r="U18" s="355"/>
      <c r="V18" s="355"/>
      <c r="W18" s="355"/>
      <c r="X18" s="355"/>
      <c r="Y18" s="355"/>
    </row>
    <row r="19">
      <c r="A19" s="38"/>
      <c r="B19" s="350"/>
      <c r="C19" s="350"/>
      <c r="D19" s="38"/>
      <c r="E19" s="38"/>
      <c r="F19" s="350"/>
      <c r="G19" s="350"/>
      <c r="H19" s="350"/>
      <c r="I19" s="355"/>
      <c r="J19" s="355"/>
      <c r="K19" s="355"/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</row>
    <row r="20">
      <c r="A20" s="38"/>
      <c r="B20" s="350"/>
      <c r="C20" s="350"/>
      <c r="D20" s="38"/>
      <c r="E20" s="38"/>
      <c r="F20" s="350"/>
      <c r="G20" s="350"/>
      <c r="H20" s="350"/>
      <c r="I20" s="355"/>
      <c r="J20" s="355"/>
      <c r="K20" s="355"/>
      <c r="L20" s="355"/>
      <c r="M20" s="355"/>
      <c r="N20" s="355"/>
      <c r="O20" s="355"/>
      <c r="P20" s="355"/>
      <c r="Q20" s="355"/>
      <c r="R20" s="355"/>
      <c r="S20" s="355"/>
      <c r="T20" s="355"/>
      <c r="U20" s="355"/>
      <c r="V20" s="355"/>
      <c r="W20" s="355"/>
      <c r="X20" s="355"/>
      <c r="Y20" s="355"/>
    </row>
    <row r="21">
      <c r="A21" s="38"/>
      <c r="B21" s="350"/>
      <c r="C21" s="350"/>
      <c r="D21" s="38"/>
      <c r="E21" s="38"/>
      <c r="F21" s="350"/>
      <c r="G21" s="350"/>
      <c r="H21" s="350"/>
      <c r="I21" s="355"/>
      <c r="J21" s="355"/>
      <c r="K21" s="355"/>
      <c r="L21" s="355"/>
      <c r="M21" s="355"/>
      <c r="N21" s="355"/>
      <c r="O21" s="355"/>
      <c r="P21" s="355"/>
      <c r="Q21" s="355"/>
      <c r="R21" s="355"/>
      <c r="S21" s="355"/>
      <c r="T21" s="355"/>
      <c r="U21" s="355"/>
      <c r="V21" s="355"/>
      <c r="W21" s="355"/>
      <c r="X21" s="355"/>
      <c r="Y21" s="355"/>
    </row>
    <row r="22">
      <c r="A22" s="38"/>
      <c r="B22" s="350"/>
      <c r="C22" s="350"/>
      <c r="D22" s="38"/>
      <c r="E22" s="38"/>
      <c r="F22" s="350"/>
      <c r="G22" s="350"/>
      <c r="H22" s="350"/>
      <c r="I22" s="355"/>
      <c r="J22" s="355"/>
      <c r="K22" s="355"/>
      <c r="L22" s="355"/>
      <c r="M22" s="355"/>
      <c r="N22" s="355"/>
      <c r="O22" s="355"/>
      <c r="P22" s="355"/>
      <c r="Q22" s="355"/>
      <c r="R22" s="355"/>
      <c r="S22" s="355"/>
      <c r="T22" s="355"/>
      <c r="U22" s="355"/>
      <c r="V22" s="355"/>
      <c r="W22" s="355"/>
      <c r="X22" s="355"/>
      <c r="Y22" s="355"/>
    </row>
    <row r="23">
      <c r="A23" s="38"/>
      <c r="B23" s="350"/>
      <c r="C23" s="350"/>
      <c r="D23" s="38"/>
      <c r="E23" s="38"/>
      <c r="F23" s="350"/>
      <c r="G23" s="350"/>
      <c r="H23" s="350"/>
      <c r="I23" s="355"/>
      <c r="J23" s="355"/>
      <c r="K23" s="355"/>
      <c r="L23" s="355"/>
      <c r="M23" s="355"/>
      <c r="N23" s="355"/>
      <c r="O23" s="355"/>
      <c r="P23" s="355"/>
      <c r="Q23" s="355"/>
      <c r="R23" s="355"/>
      <c r="S23" s="355"/>
      <c r="T23" s="355"/>
      <c r="U23" s="355"/>
      <c r="V23" s="355"/>
      <c r="W23" s="355"/>
      <c r="X23" s="355"/>
      <c r="Y23" s="355"/>
    </row>
    <row r="24">
      <c r="A24" s="38"/>
      <c r="B24" s="350"/>
      <c r="C24" s="350"/>
      <c r="D24" s="38"/>
      <c r="E24" s="38"/>
      <c r="F24" s="350"/>
      <c r="G24" s="350"/>
      <c r="H24" s="350"/>
      <c r="I24" s="355"/>
      <c r="J24" s="355"/>
      <c r="K24" s="355"/>
      <c r="L24" s="355"/>
      <c r="M24" s="355"/>
      <c r="N24" s="355"/>
      <c r="O24" s="355"/>
      <c r="P24" s="355"/>
      <c r="Q24" s="355"/>
      <c r="R24" s="355"/>
      <c r="S24" s="355"/>
      <c r="T24" s="355"/>
      <c r="U24" s="355"/>
      <c r="V24" s="355"/>
      <c r="W24" s="355"/>
      <c r="X24" s="355"/>
      <c r="Y24" s="355"/>
    </row>
    <row r="25">
      <c r="A25" s="38"/>
      <c r="B25" s="350"/>
      <c r="C25" s="350"/>
      <c r="D25" s="38"/>
      <c r="E25" s="38"/>
      <c r="F25" s="350"/>
      <c r="G25" s="350"/>
      <c r="H25" s="350"/>
      <c r="I25" s="355"/>
      <c r="J25" s="355"/>
      <c r="K25" s="355"/>
      <c r="L25" s="355"/>
      <c r="M25" s="355"/>
      <c r="N25" s="355"/>
      <c r="O25" s="355"/>
      <c r="P25" s="355"/>
      <c r="Q25" s="355"/>
      <c r="R25" s="355"/>
      <c r="S25" s="355"/>
      <c r="T25" s="355"/>
      <c r="U25" s="355"/>
      <c r="V25" s="355"/>
      <c r="W25" s="355"/>
      <c r="X25" s="355"/>
      <c r="Y25" s="355"/>
    </row>
    <row r="26">
      <c r="A26" s="38"/>
      <c r="B26" s="350"/>
      <c r="C26" s="350"/>
      <c r="D26" s="38"/>
      <c r="E26" s="38"/>
      <c r="F26" s="350"/>
      <c r="G26" s="350"/>
      <c r="H26" s="350"/>
      <c r="I26" s="355"/>
      <c r="J26" s="355"/>
      <c r="K26" s="355"/>
      <c r="L26" s="355"/>
      <c r="M26" s="355"/>
      <c r="N26" s="355"/>
      <c r="O26" s="355"/>
      <c r="P26" s="355"/>
      <c r="Q26" s="355"/>
      <c r="R26" s="355"/>
      <c r="S26" s="355"/>
      <c r="T26" s="355"/>
      <c r="U26" s="355"/>
      <c r="V26" s="355"/>
      <c r="W26" s="355"/>
      <c r="X26" s="355"/>
      <c r="Y26" s="355"/>
    </row>
    <row r="27">
      <c r="A27" s="38"/>
      <c r="B27" s="350"/>
      <c r="C27" s="350"/>
      <c r="D27" s="38"/>
      <c r="E27" s="38"/>
      <c r="F27" s="350"/>
      <c r="G27" s="350"/>
      <c r="H27" s="350"/>
      <c r="I27" s="355"/>
      <c r="J27" s="355"/>
      <c r="K27" s="355"/>
      <c r="L27" s="355"/>
      <c r="M27" s="355"/>
      <c r="N27" s="355"/>
      <c r="O27" s="355"/>
      <c r="P27" s="355"/>
      <c r="Q27" s="355"/>
      <c r="R27" s="355"/>
      <c r="S27" s="355"/>
      <c r="T27" s="355"/>
      <c r="U27" s="355"/>
      <c r="V27" s="355"/>
      <c r="W27" s="355"/>
      <c r="X27" s="355"/>
      <c r="Y27" s="355"/>
    </row>
    <row r="28">
      <c r="A28" s="38"/>
      <c r="B28" s="350"/>
      <c r="C28" s="350"/>
      <c r="D28" s="38"/>
      <c r="E28" s="38"/>
      <c r="F28" s="350"/>
      <c r="G28" s="350"/>
      <c r="H28" s="350"/>
      <c r="I28" s="355"/>
      <c r="J28" s="355"/>
      <c r="K28" s="355"/>
      <c r="L28" s="355"/>
      <c r="M28" s="355"/>
      <c r="N28" s="355"/>
      <c r="O28" s="355"/>
      <c r="P28" s="355"/>
      <c r="Q28" s="355"/>
      <c r="R28" s="355"/>
      <c r="S28" s="355"/>
      <c r="T28" s="355"/>
      <c r="U28" s="355"/>
      <c r="V28" s="355"/>
      <c r="W28" s="355"/>
      <c r="X28" s="355"/>
      <c r="Y28" s="355"/>
    </row>
    <row r="29">
      <c r="A29" s="38"/>
      <c r="B29" s="350"/>
      <c r="C29" s="350"/>
      <c r="D29" s="38"/>
      <c r="E29" s="38"/>
      <c r="F29" s="350"/>
      <c r="G29" s="350"/>
      <c r="H29" s="350"/>
      <c r="I29" s="355"/>
      <c r="J29" s="355"/>
      <c r="K29" s="355"/>
      <c r="L29" s="355"/>
      <c r="M29" s="355"/>
      <c r="N29" s="355"/>
      <c r="O29" s="355"/>
      <c r="P29" s="355"/>
      <c r="Q29" s="355"/>
      <c r="R29" s="355"/>
      <c r="S29" s="355"/>
      <c r="T29" s="355"/>
      <c r="U29" s="355"/>
      <c r="V29" s="355"/>
      <c r="W29" s="355"/>
      <c r="X29" s="355"/>
      <c r="Y29" s="355"/>
    </row>
    <row r="30">
      <c r="A30" s="38"/>
      <c r="B30" s="350"/>
      <c r="C30" s="350"/>
      <c r="D30" s="38"/>
      <c r="E30" s="38"/>
      <c r="F30" s="350"/>
      <c r="G30" s="350"/>
      <c r="H30" s="350"/>
      <c r="I30" s="355"/>
      <c r="J30" s="355"/>
      <c r="K30" s="355"/>
      <c r="L30" s="355"/>
      <c r="M30" s="355"/>
      <c r="N30" s="355"/>
      <c r="O30" s="355"/>
      <c r="P30" s="355"/>
      <c r="Q30" s="355"/>
      <c r="R30" s="355"/>
      <c r="S30" s="355"/>
      <c r="T30" s="355"/>
      <c r="U30" s="355"/>
      <c r="V30" s="355"/>
      <c r="W30" s="355"/>
      <c r="X30" s="355"/>
      <c r="Y30" s="355"/>
    </row>
    <row r="31">
      <c r="A31" s="38"/>
      <c r="B31" s="350"/>
      <c r="C31" s="350"/>
      <c r="D31" s="38"/>
      <c r="E31" s="38"/>
      <c r="F31" s="350"/>
      <c r="G31" s="350"/>
      <c r="H31" s="350"/>
      <c r="I31" s="355"/>
      <c r="J31" s="355"/>
      <c r="K31" s="355"/>
      <c r="L31" s="355"/>
      <c r="M31" s="355"/>
      <c r="N31" s="355"/>
      <c r="O31" s="355"/>
      <c r="P31" s="355"/>
      <c r="Q31" s="355"/>
      <c r="R31" s="355"/>
      <c r="S31" s="355"/>
      <c r="T31" s="355"/>
      <c r="U31" s="355"/>
      <c r="V31" s="355"/>
      <c r="W31" s="355"/>
      <c r="X31" s="355"/>
      <c r="Y31" s="355"/>
    </row>
    <row r="32">
      <c r="A32" s="38"/>
      <c r="B32" s="350"/>
      <c r="C32" s="350"/>
      <c r="D32" s="38"/>
      <c r="E32" s="38"/>
      <c r="F32" s="350"/>
      <c r="G32" s="350"/>
      <c r="H32" s="350"/>
      <c r="I32" s="355"/>
      <c r="J32" s="355"/>
      <c r="K32" s="355"/>
      <c r="L32" s="355"/>
      <c r="M32" s="355"/>
      <c r="N32" s="355"/>
      <c r="O32" s="355"/>
      <c r="P32" s="355"/>
      <c r="Q32" s="355"/>
      <c r="R32" s="355"/>
      <c r="S32" s="355"/>
      <c r="T32" s="355"/>
      <c r="U32" s="355"/>
      <c r="V32" s="355"/>
      <c r="W32" s="355"/>
      <c r="X32" s="355"/>
      <c r="Y32" s="355"/>
    </row>
    <row r="33">
      <c r="A33" s="38"/>
      <c r="B33" s="350"/>
      <c r="C33" s="350"/>
      <c r="D33" s="38"/>
      <c r="E33" s="38"/>
      <c r="F33" s="350"/>
      <c r="G33" s="350"/>
      <c r="H33" s="350"/>
      <c r="I33" s="355"/>
      <c r="J33" s="355"/>
      <c r="K33" s="355"/>
      <c r="L33" s="355"/>
      <c r="M33" s="355"/>
      <c r="N33" s="355"/>
      <c r="O33" s="355"/>
      <c r="P33" s="355"/>
      <c r="Q33" s="355"/>
      <c r="R33" s="355"/>
      <c r="S33" s="355"/>
      <c r="T33" s="355"/>
      <c r="U33" s="355"/>
      <c r="V33" s="355"/>
      <c r="W33" s="355"/>
      <c r="X33" s="355"/>
      <c r="Y33" s="355"/>
    </row>
    <row r="34">
      <c r="A34" s="38"/>
      <c r="B34" s="350"/>
      <c r="C34" s="350"/>
      <c r="D34" s="38"/>
      <c r="E34" s="38"/>
      <c r="F34" s="350"/>
      <c r="G34" s="350"/>
      <c r="H34" s="350"/>
      <c r="I34" s="355"/>
      <c r="J34" s="355"/>
      <c r="K34" s="355"/>
      <c r="L34" s="355"/>
      <c r="M34" s="355"/>
      <c r="N34" s="355"/>
      <c r="O34" s="355"/>
      <c r="P34" s="355"/>
      <c r="Q34" s="355"/>
      <c r="R34" s="355"/>
      <c r="S34" s="355"/>
      <c r="T34" s="355"/>
      <c r="U34" s="355"/>
      <c r="V34" s="355"/>
      <c r="W34" s="355"/>
      <c r="X34" s="355"/>
      <c r="Y34" s="355"/>
    </row>
    <row r="35">
      <c r="A35" s="38"/>
      <c r="B35" s="350"/>
      <c r="C35" s="350"/>
      <c r="D35" s="38"/>
      <c r="E35" s="38"/>
      <c r="F35" s="350"/>
      <c r="G35" s="350"/>
      <c r="H35" s="350"/>
      <c r="I35" s="355"/>
      <c r="J35" s="355"/>
      <c r="K35" s="355"/>
      <c r="L35" s="355"/>
      <c r="M35" s="355"/>
      <c r="N35" s="355"/>
      <c r="O35" s="355"/>
      <c r="P35" s="355"/>
      <c r="Q35" s="355"/>
      <c r="R35" s="355"/>
      <c r="S35" s="355"/>
      <c r="T35" s="355"/>
      <c r="U35" s="355"/>
      <c r="V35" s="355"/>
      <c r="W35" s="355"/>
      <c r="X35" s="355"/>
      <c r="Y35" s="355"/>
    </row>
    <row r="36">
      <c r="A36" s="38"/>
      <c r="B36" s="350"/>
      <c r="C36" s="350"/>
      <c r="D36" s="38"/>
      <c r="E36" s="38"/>
      <c r="F36" s="350"/>
      <c r="G36" s="350"/>
      <c r="H36" s="350"/>
      <c r="I36" s="355"/>
      <c r="J36" s="355"/>
      <c r="K36" s="355"/>
      <c r="L36" s="355"/>
      <c r="M36" s="355"/>
      <c r="N36" s="355"/>
      <c r="O36" s="355"/>
      <c r="P36" s="355"/>
      <c r="Q36" s="355"/>
      <c r="R36" s="355"/>
      <c r="S36" s="355"/>
      <c r="T36" s="355"/>
      <c r="U36" s="355"/>
      <c r="V36" s="355"/>
      <c r="W36" s="355"/>
      <c r="X36" s="355"/>
      <c r="Y36" s="355"/>
    </row>
    <row r="37">
      <c r="A37" s="38"/>
      <c r="B37" s="350"/>
      <c r="C37" s="350"/>
      <c r="D37" s="38"/>
      <c r="E37" s="38"/>
      <c r="F37" s="350"/>
      <c r="G37" s="350"/>
      <c r="H37" s="350"/>
      <c r="I37" s="355"/>
      <c r="J37" s="355"/>
      <c r="K37" s="355"/>
      <c r="L37" s="355"/>
      <c r="M37" s="355"/>
      <c r="N37" s="355"/>
      <c r="O37" s="355"/>
      <c r="P37" s="355"/>
      <c r="Q37" s="355"/>
      <c r="R37" s="355"/>
      <c r="S37" s="355"/>
      <c r="T37" s="355"/>
      <c r="U37" s="355"/>
      <c r="V37" s="355"/>
      <c r="W37" s="355"/>
      <c r="X37" s="355"/>
      <c r="Y37" s="355"/>
    </row>
    <row r="38">
      <c r="A38" s="38"/>
      <c r="B38" s="350"/>
      <c r="C38" s="350"/>
      <c r="D38" s="38"/>
      <c r="E38" s="38"/>
      <c r="F38" s="350"/>
      <c r="G38" s="350"/>
      <c r="H38" s="350"/>
      <c r="I38" s="355"/>
      <c r="J38" s="355"/>
      <c r="K38" s="355"/>
      <c r="L38" s="355"/>
      <c r="M38" s="355"/>
      <c r="N38" s="355"/>
      <c r="O38" s="355"/>
      <c r="P38" s="355"/>
      <c r="Q38" s="355"/>
      <c r="R38" s="355"/>
      <c r="S38" s="355"/>
      <c r="T38" s="355"/>
      <c r="U38" s="355"/>
      <c r="V38" s="355"/>
      <c r="W38" s="355"/>
      <c r="X38" s="355"/>
      <c r="Y38" s="355"/>
    </row>
    <row r="39">
      <c r="A39" s="38"/>
      <c r="B39" s="350"/>
      <c r="C39" s="350"/>
      <c r="D39" s="38"/>
      <c r="E39" s="38"/>
      <c r="F39" s="350"/>
      <c r="G39" s="350"/>
      <c r="H39" s="350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</row>
    <row r="40">
      <c r="A40" s="38"/>
      <c r="B40" s="350"/>
      <c r="C40" s="350"/>
      <c r="D40" s="38"/>
      <c r="E40" s="38"/>
      <c r="F40" s="350"/>
      <c r="G40" s="350"/>
      <c r="H40" s="350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</row>
    <row r="41">
      <c r="A41" s="38"/>
      <c r="B41" s="350"/>
      <c r="C41" s="350"/>
      <c r="D41" s="38"/>
      <c r="E41" s="38"/>
      <c r="F41" s="350"/>
      <c r="G41" s="350"/>
      <c r="H41" s="350"/>
      <c r="I41" s="355"/>
      <c r="J41" s="355"/>
      <c r="K41" s="355"/>
      <c r="L41" s="355"/>
      <c r="M41" s="355"/>
      <c r="N41" s="355"/>
      <c r="O41" s="355"/>
      <c r="P41" s="355"/>
      <c r="Q41" s="355"/>
      <c r="R41" s="355"/>
      <c r="S41" s="355"/>
      <c r="T41" s="355"/>
      <c r="U41" s="355"/>
      <c r="V41" s="355"/>
      <c r="W41" s="355"/>
      <c r="X41" s="355"/>
      <c r="Y41" s="355"/>
    </row>
    <row r="42">
      <c r="A42" s="38"/>
      <c r="B42" s="350"/>
      <c r="C42" s="350"/>
      <c r="D42" s="38"/>
      <c r="E42" s="38"/>
      <c r="F42" s="350"/>
      <c r="G42" s="350"/>
      <c r="H42" s="350"/>
      <c r="I42" s="355"/>
      <c r="J42" s="355"/>
      <c r="K42" s="355"/>
      <c r="L42" s="355"/>
      <c r="M42" s="355"/>
      <c r="N42" s="355"/>
      <c r="O42" s="355"/>
      <c r="P42" s="355"/>
      <c r="Q42" s="355"/>
      <c r="R42" s="355"/>
      <c r="S42" s="355"/>
      <c r="T42" s="355"/>
      <c r="U42" s="355"/>
      <c r="V42" s="355"/>
      <c r="W42" s="355"/>
      <c r="X42" s="355"/>
      <c r="Y42" s="355"/>
    </row>
    <row r="43">
      <c r="A43" s="38"/>
      <c r="B43" s="350"/>
      <c r="C43" s="350"/>
      <c r="D43" s="38"/>
      <c r="E43" s="38"/>
      <c r="F43" s="350"/>
      <c r="G43" s="350"/>
      <c r="H43" s="350"/>
      <c r="I43" s="355"/>
      <c r="J43" s="355"/>
      <c r="K43" s="355"/>
      <c r="L43" s="355"/>
      <c r="M43" s="355"/>
      <c r="N43" s="355"/>
      <c r="O43" s="355"/>
      <c r="P43" s="355"/>
      <c r="Q43" s="355"/>
      <c r="R43" s="355"/>
      <c r="S43" s="355"/>
      <c r="T43" s="355"/>
      <c r="U43" s="355"/>
      <c r="V43" s="355"/>
      <c r="W43" s="355"/>
      <c r="X43" s="355"/>
      <c r="Y43" s="355"/>
    </row>
    <row r="44">
      <c r="A44" s="38"/>
      <c r="B44" s="350"/>
      <c r="C44" s="350"/>
      <c r="D44" s="38"/>
      <c r="E44" s="38"/>
      <c r="F44" s="350"/>
      <c r="G44" s="350"/>
      <c r="H44" s="350"/>
      <c r="I44" s="355"/>
      <c r="J44" s="355"/>
      <c r="K44" s="355"/>
      <c r="L44" s="355"/>
      <c r="M44" s="355"/>
      <c r="N44" s="355"/>
      <c r="O44" s="355"/>
      <c r="P44" s="355"/>
      <c r="Q44" s="355"/>
      <c r="R44" s="355"/>
      <c r="S44" s="355"/>
      <c r="T44" s="355"/>
      <c r="U44" s="355"/>
      <c r="V44" s="355"/>
      <c r="W44" s="355"/>
      <c r="X44" s="355"/>
      <c r="Y44" s="355"/>
    </row>
    <row r="45">
      <c r="A45" s="38"/>
      <c r="B45" s="350"/>
      <c r="C45" s="350"/>
      <c r="D45" s="38"/>
      <c r="E45" s="38"/>
      <c r="F45" s="350"/>
      <c r="G45" s="350"/>
      <c r="H45" s="350"/>
      <c r="I45" s="355"/>
      <c r="J45" s="355"/>
      <c r="K45" s="355"/>
      <c r="L45" s="355"/>
      <c r="M45" s="355"/>
      <c r="N45" s="355"/>
      <c r="O45" s="355"/>
      <c r="P45" s="355"/>
      <c r="Q45" s="355"/>
      <c r="R45" s="355"/>
      <c r="S45" s="355"/>
      <c r="T45" s="355"/>
      <c r="U45" s="355"/>
      <c r="V45" s="355"/>
      <c r="W45" s="355"/>
      <c r="X45" s="355"/>
      <c r="Y45" s="355"/>
    </row>
    <row r="46">
      <c r="A46" s="38"/>
      <c r="B46" s="350"/>
      <c r="C46" s="350"/>
      <c r="D46" s="38"/>
      <c r="E46" s="38"/>
      <c r="F46" s="350"/>
      <c r="G46" s="350"/>
      <c r="H46" s="350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</row>
    <row r="47">
      <c r="A47" s="38"/>
      <c r="B47" s="350"/>
      <c r="C47" s="350"/>
      <c r="D47" s="38"/>
      <c r="E47" s="38"/>
      <c r="F47" s="350"/>
      <c r="G47" s="350"/>
      <c r="H47" s="350"/>
      <c r="I47" s="355"/>
      <c r="J47" s="355"/>
      <c r="K47" s="355"/>
      <c r="L47" s="355"/>
      <c r="M47" s="355"/>
      <c r="N47" s="355"/>
      <c r="O47" s="355"/>
      <c r="P47" s="355"/>
      <c r="Q47" s="355"/>
      <c r="R47" s="355"/>
      <c r="S47" s="355"/>
      <c r="T47" s="355"/>
      <c r="U47" s="355"/>
      <c r="V47" s="355"/>
      <c r="W47" s="355"/>
      <c r="X47" s="355"/>
      <c r="Y47" s="355"/>
    </row>
    <row r="48">
      <c r="A48" s="38"/>
      <c r="B48" s="350"/>
      <c r="C48" s="350"/>
      <c r="D48" s="38"/>
      <c r="E48" s="38"/>
      <c r="F48" s="350"/>
      <c r="G48" s="350"/>
      <c r="H48" s="350"/>
      <c r="I48" s="355"/>
      <c r="J48" s="355"/>
      <c r="K48" s="355"/>
      <c r="L48" s="355"/>
      <c r="M48" s="355"/>
      <c r="N48" s="355"/>
      <c r="O48" s="355"/>
      <c r="P48" s="355"/>
      <c r="Q48" s="355"/>
      <c r="R48" s="355"/>
      <c r="S48" s="355"/>
      <c r="T48" s="355"/>
      <c r="U48" s="355"/>
      <c r="V48" s="355"/>
      <c r="W48" s="355"/>
      <c r="X48" s="355"/>
      <c r="Y48" s="355"/>
    </row>
    <row r="49">
      <c r="A49" s="38"/>
      <c r="B49" s="350"/>
      <c r="C49" s="350"/>
      <c r="D49" s="38"/>
      <c r="E49" s="38"/>
      <c r="F49" s="350"/>
      <c r="G49" s="350"/>
      <c r="H49" s="350"/>
      <c r="I49" s="355"/>
      <c r="J49" s="355"/>
      <c r="K49" s="355"/>
      <c r="L49" s="355"/>
      <c r="M49" s="355"/>
      <c r="N49" s="355"/>
      <c r="O49" s="355"/>
      <c r="P49" s="355"/>
      <c r="Q49" s="355"/>
      <c r="R49" s="355"/>
      <c r="S49" s="355"/>
      <c r="T49" s="355"/>
      <c r="U49" s="355"/>
      <c r="V49" s="355"/>
      <c r="W49" s="355"/>
      <c r="X49" s="355"/>
      <c r="Y49" s="355"/>
    </row>
    <row r="50">
      <c r="A50" s="38"/>
      <c r="B50" s="350"/>
      <c r="C50" s="350"/>
      <c r="D50" s="38"/>
      <c r="E50" s="38"/>
      <c r="F50" s="350"/>
      <c r="G50" s="350"/>
      <c r="H50" s="350"/>
      <c r="I50" s="355"/>
      <c r="J50" s="355"/>
      <c r="K50" s="355"/>
      <c r="L50" s="355"/>
      <c r="M50" s="355"/>
      <c r="N50" s="355"/>
      <c r="O50" s="355"/>
      <c r="P50" s="355"/>
      <c r="Q50" s="355"/>
      <c r="R50" s="355"/>
      <c r="S50" s="355"/>
      <c r="T50" s="355"/>
      <c r="U50" s="355"/>
      <c r="V50" s="355"/>
      <c r="W50" s="355"/>
      <c r="X50" s="355"/>
      <c r="Y50" s="355"/>
    </row>
    <row r="51">
      <c r="A51" s="38"/>
      <c r="B51" s="350"/>
      <c r="C51" s="350"/>
      <c r="D51" s="38"/>
      <c r="E51" s="38"/>
      <c r="F51" s="350"/>
      <c r="G51" s="350"/>
      <c r="H51" s="350"/>
      <c r="I51" s="355"/>
      <c r="J51" s="355"/>
      <c r="K51" s="355"/>
      <c r="L51" s="355"/>
      <c r="M51" s="355"/>
      <c r="N51" s="355"/>
      <c r="O51" s="355"/>
      <c r="P51" s="355"/>
      <c r="Q51" s="355"/>
      <c r="R51" s="355"/>
      <c r="S51" s="355"/>
      <c r="T51" s="355"/>
      <c r="U51" s="355"/>
      <c r="V51" s="355"/>
      <c r="W51" s="355"/>
      <c r="X51" s="355"/>
      <c r="Y51" s="355"/>
    </row>
    <row r="52">
      <c r="A52" s="38"/>
      <c r="B52" s="350"/>
      <c r="C52" s="350"/>
      <c r="D52" s="38"/>
      <c r="E52" s="38"/>
      <c r="F52" s="350"/>
      <c r="G52" s="350"/>
      <c r="H52" s="350"/>
      <c r="I52" s="355"/>
      <c r="J52" s="355"/>
      <c r="K52" s="355"/>
      <c r="L52" s="355"/>
      <c r="M52" s="355"/>
      <c r="N52" s="355"/>
      <c r="O52" s="355"/>
      <c r="P52" s="355"/>
      <c r="Q52" s="355"/>
      <c r="R52" s="355"/>
      <c r="S52" s="355"/>
      <c r="T52" s="355"/>
      <c r="U52" s="355"/>
      <c r="V52" s="355"/>
      <c r="W52" s="355"/>
      <c r="X52" s="355"/>
      <c r="Y52" s="355"/>
    </row>
    <row r="53">
      <c r="A53" s="38"/>
      <c r="B53" s="350"/>
      <c r="C53" s="350"/>
      <c r="D53" s="38"/>
      <c r="E53" s="38"/>
      <c r="F53" s="350"/>
      <c r="G53" s="350"/>
      <c r="H53" s="350"/>
      <c r="I53" s="355"/>
      <c r="J53" s="355"/>
      <c r="K53" s="355"/>
      <c r="L53" s="355"/>
      <c r="M53" s="355"/>
      <c r="N53" s="355"/>
      <c r="O53" s="355"/>
      <c r="P53" s="355"/>
      <c r="Q53" s="355"/>
      <c r="R53" s="355"/>
      <c r="S53" s="355"/>
      <c r="T53" s="355"/>
      <c r="U53" s="355"/>
      <c r="V53" s="355"/>
      <c r="W53" s="355"/>
      <c r="X53" s="355"/>
      <c r="Y53" s="355"/>
    </row>
    <row r="54">
      <c r="A54" s="38"/>
      <c r="B54" s="350"/>
      <c r="C54" s="350"/>
      <c r="D54" s="38"/>
      <c r="E54" s="38"/>
      <c r="F54" s="350"/>
      <c r="G54" s="350"/>
      <c r="H54" s="350"/>
      <c r="I54" s="355"/>
      <c r="J54" s="355"/>
      <c r="K54" s="355"/>
      <c r="L54" s="355"/>
      <c r="M54" s="355"/>
      <c r="N54" s="355"/>
      <c r="O54" s="355"/>
      <c r="P54" s="355"/>
      <c r="Q54" s="355"/>
      <c r="R54" s="355"/>
      <c r="S54" s="355"/>
      <c r="T54" s="355"/>
      <c r="U54" s="355"/>
      <c r="V54" s="355"/>
      <c r="W54" s="355"/>
      <c r="X54" s="355"/>
      <c r="Y54" s="355"/>
    </row>
    <row r="55">
      <c r="A55" s="38"/>
      <c r="B55" s="350"/>
      <c r="C55" s="350"/>
      <c r="D55" s="38"/>
      <c r="E55" s="38"/>
      <c r="F55" s="350"/>
      <c r="G55" s="350"/>
      <c r="H55" s="350"/>
      <c r="I55" s="355"/>
      <c r="J55" s="355"/>
      <c r="K55" s="355"/>
      <c r="L55" s="355"/>
      <c r="M55" s="355"/>
      <c r="N55" s="355"/>
      <c r="O55" s="355"/>
      <c r="P55" s="355"/>
      <c r="Q55" s="355"/>
      <c r="R55" s="355"/>
      <c r="S55" s="355"/>
      <c r="T55" s="355"/>
      <c r="U55" s="355"/>
      <c r="V55" s="355"/>
      <c r="W55" s="355"/>
      <c r="X55" s="355"/>
      <c r="Y55" s="355"/>
    </row>
    <row r="56">
      <c r="A56" s="38"/>
      <c r="B56" s="350"/>
      <c r="C56" s="350"/>
      <c r="D56" s="38"/>
      <c r="E56" s="38"/>
      <c r="F56" s="350"/>
      <c r="G56" s="350"/>
      <c r="H56" s="350"/>
      <c r="I56" s="355"/>
      <c r="J56" s="355"/>
      <c r="K56" s="355"/>
      <c r="L56" s="355"/>
      <c r="M56" s="355"/>
      <c r="N56" s="355"/>
      <c r="O56" s="355"/>
      <c r="P56" s="355"/>
      <c r="Q56" s="355"/>
      <c r="R56" s="355"/>
      <c r="S56" s="355"/>
      <c r="T56" s="355"/>
      <c r="U56" s="355"/>
      <c r="V56" s="355"/>
      <c r="W56" s="355"/>
      <c r="X56" s="355"/>
      <c r="Y56" s="355"/>
    </row>
    <row r="57">
      <c r="A57" s="38"/>
      <c r="B57" s="350"/>
      <c r="C57" s="350"/>
      <c r="D57" s="38"/>
      <c r="E57" s="38"/>
      <c r="F57" s="350"/>
      <c r="G57" s="350"/>
      <c r="H57" s="350"/>
      <c r="I57" s="355"/>
      <c r="J57" s="355"/>
      <c r="K57" s="355"/>
      <c r="L57" s="355"/>
      <c r="M57" s="355"/>
      <c r="N57" s="355"/>
      <c r="O57" s="355"/>
      <c r="P57" s="355"/>
      <c r="Q57" s="355"/>
      <c r="R57" s="355"/>
      <c r="S57" s="355"/>
      <c r="T57" s="355"/>
      <c r="U57" s="355"/>
      <c r="V57" s="355"/>
      <c r="W57" s="355"/>
      <c r="X57" s="355"/>
      <c r="Y57" s="355"/>
    </row>
    <row r="58">
      <c r="A58" s="38"/>
      <c r="B58" s="350"/>
      <c r="C58" s="350"/>
      <c r="D58" s="38"/>
      <c r="E58" s="38"/>
      <c r="F58" s="350"/>
      <c r="G58" s="350"/>
      <c r="H58" s="350"/>
      <c r="I58" s="355"/>
      <c r="J58" s="355"/>
      <c r="K58" s="355"/>
      <c r="L58" s="355"/>
      <c r="M58" s="355"/>
      <c r="N58" s="355"/>
      <c r="O58" s="355"/>
      <c r="P58" s="355"/>
      <c r="Q58" s="355"/>
      <c r="R58" s="355"/>
      <c r="S58" s="355"/>
      <c r="T58" s="355"/>
      <c r="U58" s="355"/>
      <c r="V58" s="355"/>
      <c r="W58" s="355"/>
      <c r="X58" s="355"/>
      <c r="Y58" s="355"/>
    </row>
    <row r="59">
      <c r="A59" s="38"/>
      <c r="B59" s="350"/>
      <c r="C59" s="350"/>
      <c r="D59" s="38"/>
      <c r="E59" s="38"/>
      <c r="F59" s="350"/>
      <c r="G59" s="350"/>
      <c r="H59" s="350"/>
      <c r="I59" s="355"/>
      <c r="J59" s="355"/>
      <c r="K59" s="355"/>
      <c r="L59" s="355"/>
      <c r="M59" s="355"/>
      <c r="N59" s="355"/>
      <c r="O59" s="355"/>
      <c r="P59" s="355"/>
      <c r="Q59" s="355"/>
      <c r="R59" s="355"/>
      <c r="S59" s="355"/>
      <c r="T59" s="355"/>
      <c r="U59" s="355"/>
      <c r="V59" s="355"/>
      <c r="W59" s="355"/>
      <c r="X59" s="355"/>
      <c r="Y59" s="355"/>
    </row>
    <row r="60">
      <c r="A60" s="38"/>
      <c r="B60" s="350"/>
      <c r="C60" s="350"/>
      <c r="D60" s="38"/>
      <c r="E60" s="38"/>
      <c r="F60" s="350"/>
      <c r="G60" s="350"/>
      <c r="H60" s="350"/>
      <c r="I60" s="355"/>
      <c r="J60" s="355"/>
      <c r="K60" s="355"/>
      <c r="L60" s="355"/>
      <c r="M60" s="355"/>
      <c r="N60" s="355"/>
      <c r="O60" s="355"/>
      <c r="P60" s="355"/>
      <c r="Q60" s="355"/>
      <c r="R60" s="355"/>
      <c r="S60" s="355"/>
      <c r="T60" s="355"/>
      <c r="U60" s="355"/>
      <c r="V60" s="355"/>
      <c r="W60" s="355"/>
      <c r="X60" s="355"/>
      <c r="Y60" s="355"/>
    </row>
    <row r="61">
      <c r="A61" s="38"/>
      <c r="B61" s="350"/>
      <c r="C61" s="350"/>
      <c r="D61" s="38"/>
      <c r="E61" s="38"/>
      <c r="F61" s="350"/>
      <c r="G61" s="350"/>
      <c r="H61" s="350"/>
      <c r="I61" s="355"/>
      <c r="J61" s="355"/>
      <c r="K61" s="355"/>
      <c r="L61" s="355"/>
      <c r="M61" s="355"/>
      <c r="N61" s="355"/>
      <c r="O61" s="355"/>
      <c r="P61" s="355"/>
      <c r="Q61" s="355"/>
      <c r="R61" s="355"/>
      <c r="S61" s="355"/>
      <c r="T61" s="355"/>
      <c r="U61" s="355"/>
      <c r="V61" s="355"/>
      <c r="W61" s="355"/>
      <c r="X61" s="355"/>
      <c r="Y61" s="355"/>
    </row>
    <row r="62">
      <c r="A62" s="38"/>
      <c r="B62" s="350"/>
      <c r="C62" s="350"/>
      <c r="D62" s="38"/>
      <c r="E62" s="38"/>
      <c r="F62" s="350"/>
      <c r="G62" s="350"/>
      <c r="H62" s="350"/>
      <c r="I62" s="355"/>
      <c r="J62" s="355"/>
      <c r="K62" s="355"/>
      <c r="L62" s="355"/>
      <c r="M62" s="355"/>
      <c r="N62" s="355"/>
      <c r="O62" s="355"/>
      <c r="P62" s="355"/>
      <c r="Q62" s="355"/>
      <c r="R62" s="355"/>
      <c r="S62" s="355"/>
      <c r="T62" s="355"/>
      <c r="U62" s="355"/>
      <c r="V62" s="355"/>
      <c r="W62" s="355"/>
      <c r="X62" s="355"/>
      <c r="Y62" s="355"/>
    </row>
    <row r="63">
      <c r="A63" s="38"/>
      <c r="B63" s="350"/>
      <c r="C63" s="350"/>
      <c r="D63" s="38"/>
      <c r="E63" s="38"/>
      <c r="F63" s="350"/>
      <c r="G63" s="350"/>
      <c r="H63" s="350"/>
      <c r="I63" s="355"/>
      <c r="J63" s="355"/>
      <c r="K63" s="355"/>
      <c r="L63" s="355"/>
      <c r="M63" s="355"/>
      <c r="N63" s="355"/>
      <c r="O63" s="355"/>
      <c r="P63" s="355"/>
      <c r="Q63" s="355"/>
      <c r="R63" s="355"/>
      <c r="S63" s="355"/>
      <c r="T63" s="355"/>
      <c r="U63" s="355"/>
      <c r="V63" s="355"/>
      <c r="W63" s="355"/>
      <c r="X63" s="355"/>
      <c r="Y63" s="355"/>
    </row>
    <row r="64">
      <c r="A64" s="38"/>
      <c r="B64" s="350"/>
      <c r="C64" s="350"/>
      <c r="D64" s="38"/>
      <c r="E64" s="38"/>
      <c r="F64" s="350"/>
      <c r="G64" s="350"/>
      <c r="H64" s="350"/>
      <c r="I64" s="355"/>
      <c r="J64" s="355"/>
      <c r="K64" s="355"/>
      <c r="L64" s="355"/>
      <c r="M64" s="355"/>
      <c r="N64" s="355"/>
      <c r="O64" s="355"/>
      <c r="P64" s="355"/>
      <c r="Q64" s="355"/>
      <c r="R64" s="355"/>
      <c r="S64" s="355"/>
      <c r="T64" s="355"/>
      <c r="U64" s="355"/>
      <c r="V64" s="355"/>
      <c r="W64" s="355"/>
      <c r="X64" s="355"/>
      <c r="Y64" s="355"/>
    </row>
    <row r="65">
      <c r="A65" s="38"/>
      <c r="B65" s="350"/>
      <c r="C65" s="350"/>
      <c r="D65" s="38"/>
      <c r="E65" s="38"/>
      <c r="F65" s="350"/>
      <c r="G65" s="350"/>
      <c r="H65" s="350"/>
      <c r="I65" s="355"/>
      <c r="J65" s="355"/>
      <c r="K65" s="355"/>
      <c r="L65" s="355"/>
      <c r="M65" s="355"/>
      <c r="N65" s="355"/>
      <c r="O65" s="355"/>
      <c r="P65" s="355"/>
      <c r="Q65" s="355"/>
      <c r="R65" s="355"/>
      <c r="S65" s="355"/>
      <c r="T65" s="355"/>
      <c r="U65" s="355"/>
      <c r="V65" s="355"/>
      <c r="W65" s="355"/>
      <c r="X65" s="355"/>
      <c r="Y65" s="355"/>
    </row>
    <row r="66">
      <c r="A66" s="38"/>
      <c r="B66" s="350"/>
      <c r="C66" s="350"/>
      <c r="D66" s="38"/>
      <c r="E66" s="38"/>
      <c r="F66" s="350"/>
      <c r="G66" s="350"/>
      <c r="H66" s="350"/>
      <c r="I66" s="355"/>
      <c r="J66" s="355"/>
      <c r="K66" s="355"/>
      <c r="L66" s="355"/>
      <c r="M66" s="355"/>
      <c r="N66" s="355"/>
      <c r="O66" s="355"/>
      <c r="P66" s="355"/>
      <c r="Q66" s="355"/>
      <c r="R66" s="355"/>
      <c r="S66" s="355"/>
      <c r="T66" s="355"/>
      <c r="U66" s="355"/>
      <c r="V66" s="355"/>
      <c r="W66" s="355"/>
      <c r="X66" s="355"/>
      <c r="Y66" s="355"/>
    </row>
    <row r="67">
      <c r="A67" s="38"/>
      <c r="B67" s="350"/>
      <c r="C67" s="350"/>
      <c r="D67" s="38"/>
      <c r="E67" s="38"/>
      <c r="F67" s="350"/>
      <c r="G67" s="350"/>
      <c r="H67" s="350"/>
      <c r="I67" s="355"/>
      <c r="J67" s="355"/>
      <c r="K67" s="355"/>
      <c r="L67" s="355"/>
      <c r="M67" s="355"/>
      <c r="N67" s="355"/>
      <c r="O67" s="355"/>
      <c r="P67" s="355"/>
      <c r="Q67" s="355"/>
      <c r="R67" s="355"/>
      <c r="S67" s="355"/>
      <c r="T67" s="355"/>
      <c r="U67" s="355"/>
      <c r="V67" s="355"/>
      <c r="W67" s="355"/>
      <c r="X67" s="355"/>
      <c r="Y67" s="355"/>
    </row>
    <row r="68">
      <c r="A68" s="38"/>
      <c r="B68" s="350"/>
      <c r="C68" s="350"/>
      <c r="D68" s="38"/>
      <c r="E68" s="38"/>
      <c r="F68" s="350"/>
      <c r="G68" s="350"/>
      <c r="H68" s="350"/>
      <c r="I68" s="355"/>
      <c r="J68" s="355"/>
      <c r="K68" s="355"/>
      <c r="L68" s="355"/>
      <c r="M68" s="355"/>
      <c r="N68" s="355"/>
      <c r="O68" s="355"/>
      <c r="P68" s="355"/>
      <c r="Q68" s="355"/>
      <c r="R68" s="355"/>
      <c r="S68" s="355"/>
      <c r="T68" s="355"/>
      <c r="U68" s="355"/>
      <c r="V68" s="355"/>
      <c r="W68" s="355"/>
      <c r="X68" s="355"/>
      <c r="Y68" s="355"/>
    </row>
    <row r="69">
      <c r="A69" s="38"/>
      <c r="B69" s="350"/>
      <c r="C69" s="350"/>
      <c r="D69" s="38"/>
      <c r="E69" s="38"/>
      <c r="F69" s="350"/>
      <c r="G69" s="350"/>
      <c r="H69" s="350"/>
      <c r="I69" s="355"/>
      <c r="J69" s="355"/>
      <c r="K69" s="355"/>
      <c r="L69" s="355"/>
      <c r="M69" s="355"/>
      <c r="N69" s="355"/>
      <c r="O69" s="355"/>
      <c r="P69" s="355"/>
      <c r="Q69" s="355"/>
      <c r="R69" s="355"/>
      <c r="S69" s="355"/>
      <c r="T69" s="355"/>
      <c r="U69" s="355"/>
      <c r="V69" s="355"/>
      <c r="W69" s="355"/>
      <c r="X69" s="355"/>
      <c r="Y69" s="355"/>
    </row>
    <row r="70">
      <c r="A70" s="38"/>
      <c r="B70" s="350"/>
      <c r="C70" s="350"/>
      <c r="D70" s="38"/>
      <c r="E70" s="38"/>
      <c r="F70" s="350"/>
      <c r="G70" s="350"/>
      <c r="H70" s="350"/>
      <c r="I70" s="355"/>
      <c r="J70" s="355"/>
      <c r="K70" s="355"/>
      <c r="L70" s="355"/>
      <c r="M70" s="355"/>
      <c r="N70" s="355"/>
      <c r="O70" s="355"/>
      <c r="P70" s="355"/>
      <c r="Q70" s="355"/>
      <c r="R70" s="355"/>
      <c r="S70" s="355"/>
      <c r="T70" s="355"/>
      <c r="U70" s="355"/>
      <c r="V70" s="355"/>
      <c r="W70" s="355"/>
      <c r="X70" s="355"/>
      <c r="Y70" s="355"/>
    </row>
    <row r="71">
      <c r="A71" s="38"/>
      <c r="B71" s="350"/>
      <c r="C71" s="350"/>
      <c r="D71" s="38"/>
      <c r="E71" s="38"/>
      <c r="F71" s="350"/>
      <c r="G71" s="350"/>
      <c r="H71" s="350"/>
      <c r="I71" s="355"/>
      <c r="J71" s="355"/>
      <c r="K71" s="355"/>
      <c r="L71" s="355"/>
      <c r="M71" s="355"/>
      <c r="N71" s="355"/>
      <c r="O71" s="355"/>
      <c r="P71" s="355"/>
      <c r="Q71" s="355"/>
      <c r="R71" s="355"/>
      <c r="S71" s="355"/>
      <c r="T71" s="355"/>
      <c r="U71" s="355"/>
      <c r="V71" s="355"/>
      <c r="W71" s="355"/>
      <c r="X71" s="355"/>
      <c r="Y71" s="355"/>
    </row>
    <row r="72">
      <c r="A72" s="38"/>
      <c r="B72" s="350"/>
      <c r="C72" s="350"/>
      <c r="D72" s="38"/>
      <c r="E72" s="38"/>
      <c r="F72" s="350"/>
      <c r="G72" s="350"/>
      <c r="H72" s="350"/>
      <c r="I72" s="355"/>
      <c r="J72" s="355"/>
      <c r="K72" s="355"/>
      <c r="L72" s="355"/>
      <c r="M72" s="355"/>
      <c r="N72" s="355"/>
      <c r="O72" s="355"/>
      <c r="P72" s="355"/>
      <c r="Q72" s="355"/>
      <c r="R72" s="355"/>
      <c r="S72" s="355"/>
      <c r="T72" s="355"/>
      <c r="U72" s="355"/>
      <c r="V72" s="355"/>
      <c r="W72" s="355"/>
      <c r="X72" s="355"/>
      <c r="Y72" s="355"/>
    </row>
    <row r="73">
      <c r="A73" s="38"/>
      <c r="B73" s="350"/>
      <c r="C73" s="350"/>
      <c r="D73" s="38"/>
      <c r="E73" s="38"/>
      <c r="F73" s="350"/>
      <c r="G73" s="350"/>
      <c r="H73" s="350"/>
      <c r="I73" s="355"/>
      <c r="J73" s="355"/>
      <c r="K73" s="355"/>
      <c r="L73" s="355"/>
      <c r="M73" s="355"/>
      <c r="N73" s="355"/>
      <c r="O73" s="355"/>
      <c r="P73" s="355"/>
      <c r="Q73" s="355"/>
      <c r="R73" s="355"/>
      <c r="S73" s="355"/>
      <c r="T73" s="355"/>
      <c r="U73" s="355"/>
      <c r="V73" s="355"/>
      <c r="W73" s="355"/>
      <c r="X73" s="355"/>
      <c r="Y73" s="355"/>
    </row>
    <row r="74">
      <c r="A74" s="38"/>
      <c r="B74" s="350"/>
      <c r="C74" s="350"/>
      <c r="D74" s="38"/>
      <c r="E74" s="38"/>
      <c r="F74" s="350"/>
      <c r="G74" s="350"/>
      <c r="H74" s="350"/>
      <c r="I74" s="355"/>
      <c r="J74" s="355"/>
      <c r="K74" s="355"/>
      <c r="L74" s="355"/>
      <c r="M74" s="355"/>
      <c r="N74" s="355"/>
      <c r="O74" s="355"/>
      <c r="P74" s="355"/>
      <c r="Q74" s="355"/>
      <c r="R74" s="355"/>
      <c r="S74" s="355"/>
      <c r="T74" s="355"/>
      <c r="U74" s="355"/>
      <c r="V74" s="355"/>
      <c r="W74" s="355"/>
      <c r="X74" s="355"/>
      <c r="Y74" s="355"/>
    </row>
    <row r="75">
      <c r="A75" s="38"/>
      <c r="B75" s="350"/>
      <c r="C75" s="350"/>
      <c r="D75" s="38"/>
      <c r="E75" s="38"/>
      <c r="F75" s="350"/>
      <c r="G75" s="350"/>
      <c r="H75" s="350"/>
      <c r="I75" s="355"/>
      <c r="J75" s="355"/>
      <c r="K75" s="355"/>
      <c r="L75" s="355"/>
      <c r="M75" s="355"/>
      <c r="N75" s="355"/>
      <c r="O75" s="355"/>
      <c r="P75" s="355"/>
      <c r="Q75" s="355"/>
      <c r="R75" s="355"/>
      <c r="S75" s="355"/>
      <c r="T75" s="355"/>
      <c r="U75" s="355"/>
      <c r="V75" s="355"/>
      <c r="W75" s="355"/>
      <c r="X75" s="355"/>
      <c r="Y75" s="355"/>
    </row>
    <row r="76">
      <c r="A76" s="38"/>
      <c r="B76" s="350"/>
      <c r="C76" s="350"/>
      <c r="D76" s="38"/>
      <c r="E76" s="38"/>
      <c r="F76" s="350"/>
      <c r="G76" s="350"/>
      <c r="H76" s="350"/>
      <c r="I76" s="355"/>
      <c r="J76" s="355"/>
      <c r="K76" s="355"/>
      <c r="L76" s="355"/>
      <c r="M76" s="355"/>
      <c r="N76" s="355"/>
      <c r="O76" s="355"/>
      <c r="P76" s="355"/>
      <c r="Q76" s="355"/>
      <c r="R76" s="355"/>
      <c r="S76" s="355"/>
      <c r="T76" s="355"/>
      <c r="U76" s="355"/>
      <c r="V76" s="355"/>
      <c r="W76" s="355"/>
      <c r="X76" s="355"/>
      <c r="Y76" s="355"/>
    </row>
    <row r="77">
      <c r="A77" s="38"/>
      <c r="B77" s="350"/>
      <c r="C77" s="350"/>
      <c r="D77" s="38"/>
      <c r="E77" s="38"/>
      <c r="F77" s="350"/>
      <c r="G77" s="350"/>
      <c r="H77" s="350"/>
      <c r="I77" s="355"/>
      <c r="J77" s="355"/>
      <c r="K77" s="355"/>
      <c r="L77" s="355"/>
      <c r="M77" s="355"/>
      <c r="N77" s="355"/>
      <c r="O77" s="355"/>
      <c r="P77" s="355"/>
      <c r="Q77" s="355"/>
      <c r="R77" s="355"/>
      <c r="S77" s="355"/>
      <c r="T77" s="355"/>
      <c r="U77" s="355"/>
      <c r="V77" s="355"/>
      <c r="W77" s="355"/>
      <c r="X77" s="355"/>
      <c r="Y77" s="355"/>
    </row>
    <row r="78">
      <c r="A78" s="38"/>
      <c r="B78" s="350"/>
      <c r="C78" s="350"/>
      <c r="D78" s="38"/>
      <c r="E78" s="38"/>
      <c r="F78" s="350"/>
      <c r="G78" s="350"/>
      <c r="H78" s="350"/>
      <c r="I78" s="355"/>
      <c r="J78" s="355"/>
      <c r="K78" s="355"/>
      <c r="L78" s="355"/>
      <c r="M78" s="355"/>
      <c r="N78" s="355"/>
      <c r="O78" s="355"/>
      <c r="P78" s="355"/>
      <c r="Q78" s="355"/>
      <c r="R78" s="355"/>
      <c r="S78" s="355"/>
      <c r="T78" s="355"/>
      <c r="U78" s="355"/>
      <c r="V78" s="355"/>
      <c r="W78" s="355"/>
      <c r="X78" s="355"/>
      <c r="Y78" s="355"/>
    </row>
    <row r="79">
      <c r="A79" s="38"/>
      <c r="B79" s="350"/>
      <c r="C79" s="350"/>
      <c r="D79" s="38"/>
      <c r="E79" s="38"/>
      <c r="F79" s="350"/>
      <c r="G79" s="350"/>
      <c r="H79" s="350"/>
      <c r="I79" s="355"/>
      <c r="J79" s="355"/>
      <c r="K79" s="355"/>
      <c r="L79" s="355"/>
      <c r="M79" s="355"/>
      <c r="N79" s="355"/>
      <c r="O79" s="355"/>
      <c r="P79" s="355"/>
      <c r="Q79" s="355"/>
      <c r="R79" s="355"/>
      <c r="S79" s="355"/>
      <c r="T79" s="355"/>
      <c r="U79" s="355"/>
      <c r="V79" s="355"/>
      <c r="W79" s="355"/>
      <c r="X79" s="355"/>
      <c r="Y79" s="355"/>
    </row>
    <row r="80">
      <c r="A80" s="38"/>
      <c r="B80" s="350"/>
      <c r="C80" s="350"/>
      <c r="D80" s="38"/>
      <c r="E80" s="38"/>
      <c r="F80" s="350"/>
      <c r="G80" s="350"/>
      <c r="H80" s="350"/>
      <c r="I80" s="355"/>
      <c r="J80" s="355"/>
      <c r="K80" s="355"/>
      <c r="L80" s="355"/>
      <c r="M80" s="355"/>
      <c r="N80" s="355"/>
      <c r="O80" s="355"/>
      <c r="P80" s="355"/>
      <c r="Q80" s="355"/>
      <c r="R80" s="355"/>
      <c r="S80" s="355"/>
      <c r="T80" s="355"/>
      <c r="U80" s="355"/>
      <c r="V80" s="355"/>
      <c r="W80" s="355"/>
      <c r="X80" s="355"/>
      <c r="Y80" s="355"/>
    </row>
    <row r="81">
      <c r="A81" s="38"/>
      <c r="B81" s="350"/>
      <c r="C81" s="350"/>
      <c r="D81" s="38"/>
      <c r="E81" s="38"/>
      <c r="F81" s="350"/>
      <c r="G81" s="350"/>
      <c r="H81" s="350"/>
      <c r="I81" s="355"/>
      <c r="J81" s="355"/>
      <c r="K81" s="355"/>
      <c r="L81" s="355"/>
      <c r="M81" s="355"/>
      <c r="N81" s="355"/>
      <c r="O81" s="355"/>
      <c r="P81" s="355"/>
      <c r="Q81" s="355"/>
      <c r="R81" s="355"/>
      <c r="S81" s="355"/>
      <c r="T81" s="355"/>
      <c r="U81" s="355"/>
      <c r="V81" s="355"/>
      <c r="W81" s="355"/>
      <c r="X81" s="355"/>
      <c r="Y81" s="355"/>
    </row>
    <row r="82">
      <c r="A82" s="38"/>
      <c r="B82" s="350"/>
      <c r="C82" s="350"/>
      <c r="D82" s="38"/>
      <c r="E82" s="38"/>
      <c r="F82" s="350"/>
      <c r="G82" s="350"/>
      <c r="H82" s="350"/>
      <c r="I82" s="355"/>
      <c r="J82" s="355"/>
      <c r="K82" s="355"/>
      <c r="L82" s="355"/>
      <c r="M82" s="355"/>
      <c r="N82" s="355"/>
      <c r="O82" s="355"/>
      <c r="P82" s="355"/>
      <c r="Q82" s="355"/>
      <c r="R82" s="355"/>
      <c r="S82" s="355"/>
      <c r="T82" s="355"/>
      <c r="U82" s="355"/>
      <c r="V82" s="355"/>
      <c r="W82" s="355"/>
      <c r="X82" s="355"/>
      <c r="Y82" s="355"/>
    </row>
    <row r="83">
      <c r="A83" s="38"/>
      <c r="B83" s="350"/>
      <c r="C83" s="350"/>
      <c r="D83" s="38"/>
      <c r="E83" s="38"/>
      <c r="F83" s="350"/>
      <c r="G83" s="350"/>
      <c r="H83" s="350"/>
      <c r="I83" s="355"/>
      <c r="J83" s="355"/>
      <c r="K83" s="355"/>
      <c r="L83" s="355"/>
      <c r="M83" s="355"/>
      <c r="N83" s="355"/>
      <c r="O83" s="355"/>
      <c r="P83" s="355"/>
      <c r="Q83" s="355"/>
      <c r="R83" s="355"/>
      <c r="S83" s="355"/>
      <c r="T83" s="355"/>
      <c r="U83" s="355"/>
      <c r="V83" s="355"/>
      <c r="W83" s="355"/>
      <c r="X83" s="355"/>
      <c r="Y83" s="355"/>
    </row>
    <row r="84">
      <c r="A84" s="38"/>
      <c r="B84" s="350"/>
      <c r="C84" s="350"/>
      <c r="D84" s="38"/>
      <c r="E84" s="38"/>
      <c r="F84" s="350"/>
      <c r="G84" s="350"/>
      <c r="H84" s="350"/>
      <c r="I84" s="355"/>
      <c r="J84" s="355"/>
      <c r="K84" s="355"/>
      <c r="L84" s="355"/>
      <c r="M84" s="355"/>
      <c r="N84" s="355"/>
      <c r="O84" s="355"/>
      <c r="P84" s="355"/>
      <c r="Q84" s="355"/>
      <c r="R84" s="355"/>
      <c r="S84" s="355"/>
      <c r="T84" s="355"/>
      <c r="U84" s="355"/>
      <c r="V84" s="355"/>
      <c r="W84" s="355"/>
      <c r="X84" s="355"/>
      <c r="Y84" s="355"/>
    </row>
    <row r="85">
      <c r="A85" s="38"/>
      <c r="B85" s="350"/>
      <c r="C85" s="350"/>
      <c r="D85" s="38"/>
      <c r="E85" s="38"/>
      <c r="F85" s="350"/>
      <c r="G85" s="350"/>
      <c r="H85" s="350"/>
      <c r="I85" s="355"/>
      <c r="J85" s="355"/>
      <c r="K85" s="355"/>
      <c r="L85" s="355"/>
      <c r="M85" s="355"/>
      <c r="N85" s="355"/>
      <c r="O85" s="355"/>
      <c r="P85" s="355"/>
      <c r="Q85" s="355"/>
      <c r="R85" s="355"/>
      <c r="S85" s="355"/>
      <c r="T85" s="355"/>
      <c r="U85" s="355"/>
      <c r="V85" s="355"/>
      <c r="W85" s="355"/>
      <c r="X85" s="355"/>
      <c r="Y85" s="355"/>
    </row>
    <row r="86">
      <c r="A86" s="38"/>
      <c r="B86" s="350"/>
      <c r="C86" s="350"/>
      <c r="D86" s="38"/>
      <c r="E86" s="38"/>
      <c r="F86" s="350"/>
      <c r="G86" s="350"/>
      <c r="H86" s="350"/>
      <c r="I86" s="355"/>
      <c r="J86" s="355"/>
      <c r="K86" s="355"/>
      <c r="L86" s="355"/>
      <c r="M86" s="355"/>
      <c r="N86" s="355"/>
      <c r="O86" s="355"/>
      <c r="P86" s="355"/>
      <c r="Q86" s="355"/>
      <c r="R86" s="355"/>
      <c r="S86" s="355"/>
      <c r="T86" s="355"/>
      <c r="U86" s="355"/>
      <c r="V86" s="355"/>
      <c r="W86" s="355"/>
      <c r="X86" s="355"/>
      <c r="Y86" s="355"/>
    </row>
    <row r="87">
      <c r="A87" s="38"/>
      <c r="B87" s="350"/>
      <c r="C87" s="350"/>
      <c r="D87" s="38"/>
      <c r="E87" s="38"/>
      <c r="F87" s="350"/>
      <c r="G87" s="350"/>
      <c r="H87" s="350"/>
      <c r="I87" s="355"/>
      <c r="J87" s="355"/>
      <c r="K87" s="355"/>
      <c r="L87" s="355"/>
      <c r="M87" s="355"/>
      <c r="N87" s="355"/>
      <c r="O87" s="355"/>
      <c r="P87" s="355"/>
      <c r="Q87" s="355"/>
      <c r="R87" s="355"/>
      <c r="S87" s="355"/>
      <c r="T87" s="355"/>
      <c r="U87" s="355"/>
      <c r="V87" s="355"/>
      <c r="W87" s="355"/>
      <c r="X87" s="355"/>
      <c r="Y87" s="355"/>
    </row>
    <row r="88">
      <c r="A88" s="38"/>
      <c r="B88" s="350"/>
      <c r="C88" s="350"/>
      <c r="D88" s="38"/>
      <c r="E88" s="38"/>
      <c r="F88" s="350"/>
      <c r="G88" s="350"/>
      <c r="H88" s="350"/>
      <c r="I88" s="355"/>
      <c r="J88" s="355"/>
      <c r="K88" s="355"/>
      <c r="L88" s="355"/>
      <c r="M88" s="355"/>
      <c r="N88" s="355"/>
      <c r="O88" s="355"/>
      <c r="P88" s="355"/>
      <c r="Q88" s="355"/>
      <c r="R88" s="355"/>
      <c r="S88" s="355"/>
      <c r="T88" s="355"/>
      <c r="U88" s="355"/>
      <c r="V88" s="355"/>
      <c r="W88" s="355"/>
      <c r="X88" s="355"/>
      <c r="Y88" s="355"/>
    </row>
    <row r="89">
      <c r="A89" s="38"/>
      <c r="B89" s="350"/>
      <c r="C89" s="350"/>
      <c r="D89" s="38"/>
      <c r="E89" s="38"/>
      <c r="F89" s="350"/>
      <c r="G89" s="350"/>
      <c r="H89" s="350"/>
      <c r="I89" s="355"/>
      <c r="J89" s="355"/>
      <c r="K89" s="355"/>
      <c r="L89" s="355"/>
      <c r="M89" s="355"/>
      <c r="N89" s="355"/>
      <c r="O89" s="355"/>
      <c r="P89" s="355"/>
      <c r="Q89" s="355"/>
      <c r="R89" s="355"/>
      <c r="S89" s="355"/>
      <c r="T89" s="355"/>
      <c r="U89" s="355"/>
      <c r="V89" s="355"/>
      <c r="W89" s="355"/>
      <c r="X89" s="355"/>
      <c r="Y89" s="355"/>
    </row>
    <row r="90">
      <c r="A90" s="38"/>
      <c r="B90" s="350"/>
      <c r="C90" s="350"/>
      <c r="D90" s="38"/>
      <c r="E90" s="38"/>
      <c r="F90" s="350"/>
      <c r="G90" s="350"/>
      <c r="H90" s="350"/>
      <c r="I90" s="355"/>
      <c r="J90" s="355"/>
      <c r="K90" s="355"/>
      <c r="L90" s="355"/>
      <c r="M90" s="355"/>
      <c r="N90" s="355"/>
      <c r="O90" s="355"/>
      <c r="P90" s="355"/>
      <c r="Q90" s="355"/>
      <c r="R90" s="355"/>
      <c r="S90" s="355"/>
      <c r="T90" s="355"/>
      <c r="U90" s="355"/>
      <c r="V90" s="355"/>
      <c r="W90" s="355"/>
      <c r="X90" s="355"/>
      <c r="Y90" s="355"/>
    </row>
    <row r="91">
      <c r="A91" s="38"/>
      <c r="B91" s="350"/>
      <c r="C91" s="350"/>
      <c r="D91" s="38"/>
      <c r="E91" s="38"/>
      <c r="F91" s="350"/>
      <c r="G91" s="350"/>
      <c r="H91" s="350"/>
      <c r="I91" s="355"/>
      <c r="J91" s="355"/>
      <c r="K91" s="355"/>
      <c r="L91" s="355"/>
      <c r="M91" s="355"/>
      <c r="N91" s="355"/>
      <c r="O91" s="355"/>
      <c r="P91" s="355"/>
      <c r="Q91" s="355"/>
      <c r="R91" s="355"/>
      <c r="S91" s="355"/>
      <c r="T91" s="355"/>
      <c r="U91" s="355"/>
      <c r="V91" s="355"/>
      <c r="W91" s="355"/>
      <c r="X91" s="355"/>
      <c r="Y91" s="355"/>
    </row>
    <row r="92">
      <c r="A92" s="38"/>
      <c r="B92" s="350"/>
      <c r="C92" s="350"/>
      <c r="D92" s="38"/>
      <c r="E92" s="38"/>
      <c r="F92" s="350"/>
      <c r="G92" s="350"/>
      <c r="H92" s="350"/>
      <c r="I92" s="355"/>
      <c r="J92" s="355"/>
      <c r="K92" s="355"/>
      <c r="L92" s="355"/>
      <c r="M92" s="355"/>
      <c r="N92" s="355"/>
      <c r="O92" s="355"/>
      <c r="P92" s="355"/>
      <c r="Q92" s="355"/>
      <c r="R92" s="355"/>
      <c r="S92" s="355"/>
      <c r="T92" s="355"/>
      <c r="U92" s="355"/>
      <c r="V92" s="355"/>
      <c r="W92" s="355"/>
      <c r="X92" s="355"/>
      <c r="Y92" s="355"/>
    </row>
    <row r="93">
      <c r="A93" s="38"/>
      <c r="B93" s="350"/>
      <c r="C93" s="350"/>
      <c r="D93" s="38"/>
      <c r="E93" s="38"/>
      <c r="F93" s="350"/>
      <c r="G93" s="350"/>
      <c r="H93" s="350"/>
      <c r="I93" s="355"/>
      <c r="J93" s="355"/>
      <c r="K93" s="355"/>
      <c r="L93" s="355"/>
      <c r="M93" s="355"/>
      <c r="N93" s="355"/>
      <c r="O93" s="355"/>
      <c r="P93" s="355"/>
      <c r="Q93" s="355"/>
      <c r="R93" s="355"/>
      <c r="S93" s="355"/>
      <c r="T93" s="355"/>
      <c r="U93" s="355"/>
      <c r="V93" s="355"/>
      <c r="W93" s="355"/>
      <c r="X93" s="355"/>
      <c r="Y93" s="355"/>
    </row>
    <row r="94">
      <c r="A94" s="38"/>
      <c r="B94" s="350"/>
      <c r="C94" s="350"/>
      <c r="D94" s="38"/>
      <c r="E94" s="38"/>
      <c r="F94" s="350"/>
      <c r="G94" s="350"/>
      <c r="H94" s="350"/>
      <c r="I94" s="355"/>
      <c r="J94" s="355"/>
      <c r="K94" s="355"/>
      <c r="L94" s="355"/>
      <c r="M94" s="355"/>
      <c r="N94" s="355"/>
      <c r="O94" s="355"/>
      <c r="P94" s="355"/>
      <c r="Q94" s="355"/>
      <c r="R94" s="355"/>
      <c r="S94" s="355"/>
      <c r="T94" s="355"/>
      <c r="U94" s="355"/>
      <c r="V94" s="355"/>
      <c r="W94" s="355"/>
      <c r="X94" s="355"/>
      <c r="Y94" s="355"/>
    </row>
    <row r="95">
      <c r="A95" s="38"/>
      <c r="B95" s="350"/>
      <c r="C95" s="350"/>
      <c r="D95" s="38"/>
      <c r="E95" s="38"/>
      <c r="F95" s="350"/>
      <c r="G95" s="350"/>
      <c r="H95" s="350"/>
      <c r="I95" s="355"/>
      <c r="J95" s="355"/>
      <c r="K95" s="355"/>
      <c r="L95" s="355"/>
      <c r="M95" s="355"/>
      <c r="N95" s="355"/>
      <c r="O95" s="355"/>
      <c r="P95" s="355"/>
      <c r="Q95" s="355"/>
      <c r="R95" s="355"/>
      <c r="S95" s="355"/>
      <c r="T95" s="355"/>
      <c r="U95" s="355"/>
      <c r="V95" s="355"/>
      <c r="W95" s="355"/>
      <c r="X95" s="355"/>
      <c r="Y95" s="355"/>
    </row>
    <row r="96">
      <c r="A96" s="38"/>
      <c r="B96" s="350"/>
      <c r="C96" s="350"/>
      <c r="D96" s="38"/>
      <c r="E96" s="38"/>
      <c r="F96" s="350"/>
      <c r="G96" s="350"/>
      <c r="H96" s="350"/>
      <c r="I96" s="355"/>
      <c r="J96" s="355"/>
      <c r="K96" s="355"/>
      <c r="L96" s="355"/>
      <c r="M96" s="355"/>
      <c r="N96" s="355"/>
      <c r="O96" s="355"/>
      <c r="P96" s="355"/>
      <c r="Q96" s="355"/>
      <c r="R96" s="355"/>
      <c r="S96" s="355"/>
      <c r="T96" s="355"/>
      <c r="U96" s="355"/>
      <c r="V96" s="355"/>
      <c r="W96" s="355"/>
      <c r="X96" s="355"/>
      <c r="Y96" s="355"/>
    </row>
    <row r="97">
      <c r="A97" s="38"/>
      <c r="B97" s="350"/>
      <c r="C97" s="350"/>
      <c r="D97" s="38"/>
      <c r="E97" s="38"/>
      <c r="F97" s="350"/>
      <c r="G97" s="350"/>
      <c r="H97" s="350"/>
      <c r="I97" s="355"/>
      <c r="J97" s="355"/>
      <c r="K97" s="355"/>
      <c r="L97" s="355"/>
      <c r="M97" s="355"/>
      <c r="N97" s="355"/>
      <c r="O97" s="355"/>
      <c r="P97" s="355"/>
      <c r="Q97" s="355"/>
      <c r="R97" s="355"/>
      <c r="S97" s="355"/>
      <c r="T97" s="355"/>
      <c r="U97" s="355"/>
      <c r="V97" s="355"/>
      <c r="W97" s="355"/>
      <c r="X97" s="355"/>
      <c r="Y97" s="355"/>
    </row>
    <row r="98">
      <c r="A98" s="38"/>
      <c r="B98" s="350"/>
      <c r="C98" s="350"/>
      <c r="D98" s="38"/>
      <c r="E98" s="38"/>
      <c r="F98" s="350"/>
      <c r="G98" s="350"/>
      <c r="H98" s="350"/>
      <c r="I98" s="355"/>
      <c r="J98" s="355"/>
      <c r="K98" s="355"/>
      <c r="L98" s="355"/>
      <c r="M98" s="355"/>
      <c r="N98" s="355"/>
      <c r="O98" s="355"/>
      <c r="P98" s="355"/>
      <c r="Q98" s="355"/>
      <c r="R98" s="355"/>
      <c r="S98" s="355"/>
      <c r="T98" s="355"/>
      <c r="U98" s="355"/>
      <c r="V98" s="355"/>
      <c r="W98" s="355"/>
      <c r="X98" s="355"/>
      <c r="Y98" s="355"/>
    </row>
    <row r="99">
      <c r="A99" s="38"/>
      <c r="B99" s="350"/>
      <c r="C99" s="350"/>
      <c r="D99" s="38"/>
      <c r="E99" s="38"/>
      <c r="F99" s="350"/>
      <c r="G99" s="350"/>
      <c r="H99" s="350"/>
      <c r="I99" s="355"/>
      <c r="J99" s="355"/>
      <c r="K99" s="355"/>
      <c r="L99" s="355"/>
      <c r="M99" s="355"/>
      <c r="N99" s="355"/>
      <c r="O99" s="355"/>
      <c r="P99" s="355"/>
      <c r="Q99" s="355"/>
      <c r="R99" s="355"/>
      <c r="S99" s="355"/>
      <c r="T99" s="355"/>
      <c r="U99" s="355"/>
      <c r="V99" s="355"/>
      <c r="W99" s="355"/>
      <c r="X99" s="355"/>
      <c r="Y99" s="355"/>
    </row>
    <row r="100">
      <c r="A100" s="38"/>
      <c r="B100" s="350"/>
      <c r="C100" s="350"/>
      <c r="D100" s="38"/>
      <c r="E100" s="38"/>
      <c r="F100" s="350"/>
      <c r="G100" s="350"/>
      <c r="H100" s="350"/>
      <c r="I100" s="355"/>
      <c r="J100" s="355"/>
      <c r="K100" s="355"/>
      <c r="L100" s="355"/>
      <c r="M100" s="355"/>
      <c r="N100" s="355"/>
      <c r="O100" s="355"/>
      <c r="P100" s="355"/>
      <c r="Q100" s="355"/>
      <c r="R100" s="355"/>
      <c r="S100" s="355"/>
      <c r="T100" s="355"/>
      <c r="U100" s="355"/>
      <c r="V100" s="355"/>
      <c r="W100" s="355"/>
      <c r="X100" s="355"/>
      <c r="Y100" s="355"/>
    </row>
  </sheetData>
  <hyperlinks>
    <hyperlink r:id="rId1" location="gid=302221325" ref="A2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0.5" customHeight="1">
      <c r="A1" s="356" t="s">
        <v>347</v>
      </c>
      <c r="B1" s="277"/>
      <c r="C1" s="277"/>
      <c r="D1" s="277"/>
      <c r="E1" s="277"/>
      <c r="F1" s="277"/>
      <c r="G1" s="277"/>
      <c r="H1" s="357"/>
    </row>
    <row r="2">
      <c r="A2" s="11"/>
      <c r="B2" s="11"/>
      <c r="C2" s="11"/>
      <c r="D2" s="11"/>
      <c r="E2" s="11"/>
      <c r="F2" s="11"/>
      <c r="G2" s="11"/>
      <c r="H2" s="11"/>
    </row>
    <row r="3">
      <c r="A3" s="11"/>
      <c r="B3" s="11"/>
      <c r="C3" s="11"/>
      <c r="D3" s="11"/>
      <c r="E3" s="11"/>
      <c r="F3" s="11"/>
      <c r="G3" s="11"/>
      <c r="H3" s="11"/>
    </row>
    <row r="4">
      <c r="A4" s="11"/>
      <c r="B4" s="11"/>
      <c r="C4" s="11"/>
      <c r="D4" s="11"/>
      <c r="E4" s="11"/>
      <c r="F4" s="11"/>
      <c r="G4" s="11"/>
      <c r="H4" s="11"/>
    </row>
    <row r="5">
      <c r="A5" s="11"/>
      <c r="B5" s="11"/>
      <c r="C5" s="11"/>
      <c r="D5" s="11"/>
      <c r="E5" s="11"/>
      <c r="F5" s="11"/>
      <c r="G5" s="11"/>
      <c r="H5" s="11"/>
    </row>
    <row r="6">
      <c r="A6" s="11"/>
      <c r="B6" s="11"/>
      <c r="C6" s="11"/>
      <c r="D6" s="11"/>
      <c r="E6" s="11"/>
      <c r="F6" s="11"/>
      <c r="G6" s="11"/>
      <c r="H6" s="11"/>
    </row>
    <row r="7">
      <c r="A7" s="11"/>
      <c r="B7" s="11"/>
      <c r="C7" s="11"/>
      <c r="D7" s="11"/>
      <c r="E7" s="11"/>
      <c r="F7" s="11"/>
      <c r="G7" s="11"/>
      <c r="H7" s="11"/>
    </row>
    <row r="8">
      <c r="A8" s="11"/>
      <c r="B8" s="11"/>
      <c r="C8" s="11"/>
      <c r="D8" s="11"/>
      <c r="E8" s="11"/>
      <c r="F8" s="11"/>
      <c r="G8" s="11"/>
      <c r="H8" s="11"/>
    </row>
    <row r="9">
      <c r="A9" s="11"/>
      <c r="B9" s="11"/>
      <c r="C9" s="11"/>
      <c r="D9" s="11"/>
      <c r="E9" s="11"/>
      <c r="F9" s="11"/>
      <c r="G9" s="11"/>
      <c r="H9" s="11"/>
    </row>
    <row r="10">
      <c r="A10" s="11"/>
      <c r="B10" s="11"/>
      <c r="C10" s="11"/>
      <c r="D10" s="11"/>
      <c r="E10" s="11"/>
      <c r="F10" s="11"/>
      <c r="G10" s="11"/>
      <c r="H10" s="11"/>
    </row>
    <row r="11">
      <c r="A11" s="11"/>
      <c r="B11" s="11"/>
      <c r="C11" s="11"/>
      <c r="D11" s="11"/>
      <c r="E11" s="11"/>
      <c r="F11" s="11"/>
      <c r="G11" s="11"/>
      <c r="H11" s="11"/>
    </row>
    <row r="12">
      <c r="A12" s="11"/>
      <c r="B12" s="11"/>
      <c r="C12" s="11"/>
      <c r="D12" s="11"/>
      <c r="E12" s="11"/>
      <c r="F12" s="11"/>
      <c r="G12" s="11"/>
      <c r="H12" s="11"/>
    </row>
    <row r="13">
      <c r="A13" s="11"/>
      <c r="B13" s="11"/>
      <c r="C13" s="11"/>
      <c r="D13" s="11"/>
      <c r="E13" s="11"/>
      <c r="F13" s="11"/>
      <c r="G13" s="11"/>
      <c r="H13" s="11"/>
    </row>
    <row r="14">
      <c r="A14" s="11"/>
      <c r="B14" s="11"/>
      <c r="C14" s="11"/>
      <c r="D14" s="11"/>
      <c r="E14" s="11"/>
      <c r="F14" s="11"/>
      <c r="G14" s="11"/>
      <c r="H14" s="11"/>
    </row>
    <row r="15">
      <c r="A15" s="11"/>
      <c r="B15" s="11"/>
      <c r="C15" s="11"/>
      <c r="D15" s="11"/>
      <c r="E15" s="11"/>
      <c r="F15" s="11"/>
      <c r="G15" s="11"/>
      <c r="H15" s="11"/>
    </row>
    <row r="16">
      <c r="A16" s="11"/>
      <c r="B16" s="11"/>
      <c r="C16" s="11"/>
      <c r="D16" s="11"/>
      <c r="E16" s="11"/>
      <c r="F16" s="11"/>
      <c r="G16" s="11"/>
      <c r="H16" s="11"/>
    </row>
    <row r="17">
      <c r="A17" s="11"/>
      <c r="B17" s="11"/>
      <c r="C17" s="11"/>
      <c r="D17" s="11"/>
      <c r="E17" s="11"/>
      <c r="F17" s="11"/>
      <c r="G17" s="11"/>
      <c r="H17" s="11"/>
    </row>
    <row r="18">
      <c r="A18" s="11"/>
      <c r="B18" s="11"/>
      <c r="C18" s="11"/>
      <c r="D18" s="11"/>
      <c r="E18" s="11"/>
      <c r="F18" s="11"/>
      <c r="G18" s="11"/>
      <c r="H18" s="11"/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1"/>
      <c r="D20" s="11"/>
      <c r="E20" s="11"/>
      <c r="F20" s="11"/>
      <c r="G20" s="11"/>
      <c r="H20" s="11"/>
    </row>
    <row r="21">
      <c r="A21" s="11"/>
      <c r="B21" s="11"/>
      <c r="C21" s="11"/>
      <c r="D21" s="11"/>
      <c r="E21" s="11"/>
      <c r="F21" s="11"/>
      <c r="G21" s="11"/>
      <c r="H21" s="11"/>
    </row>
    <row r="22">
      <c r="A22" s="11"/>
      <c r="B22" s="11"/>
      <c r="C22" s="11"/>
      <c r="D22" s="11"/>
      <c r="E22" s="11"/>
      <c r="F22" s="11"/>
      <c r="G22" s="11"/>
      <c r="H22" s="11"/>
    </row>
    <row r="23">
      <c r="A23" s="11"/>
      <c r="B23" s="11"/>
      <c r="C23" s="11"/>
      <c r="D23" s="11"/>
      <c r="E23" s="11"/>
      <c r="F23" s="11"/>
      <c r="G23" s="11"/>
      <c r="H23" s="11"/>
    </row>
    <row r="24">
      <c r="A24" s="11"/>
      <c r="B24" s="11"/>
      <c r="C24" s="11"/>
      <c r="D24" s="11"/>
      <c r="E24" s="11"/>
      <c r="F24" s="11"/>
      <c r="G24" s="11"/>
      <c r="H24" s="11"/>
    </row>
    <row r="25">
      <c r="A25" s="11"/>
      <c r="B25" s="11"/>
      <c r="C25" s="11"/>
      <c r="D25" s="11"/>
      <c r="E25" s="11"/>
      <c r="F25" s="11"/>
      <c r="G25" s="11"/>
      <c r="H25" s="11"/>
    </row>
    <row r="26">
      <c r="A26" s="11"/>
      <c r="B26" s="11"/>
      <c r="C26" s="11"/>
      <c r="D26" s="11"/>
      <c r="E26" s="11"/>
      <c r="F26" s="11"/>
      <c r="G26" s="11"/>
      <c r="H26" s="11"/>
    </row>
    <row r="27">
      <c r="A27" s="11"/>
      <c r="B27" s="11"/>
      <c r="C27" s="11"/>
      <c r="D27" s="11"/>
      <c r="E27" s="11"/>
      <c r="F27" s="11"/>
      <c r="G27" s="11"/>
      <c r="H27" s="11"/>
    </row>
    <row r="28">
      <c r="A28" s="11"/>
      <c r="B28" s="11"/>
      <c r="C28" s="11"/>
      <c r="D28" s="11"/>
      <c r="E28" s="11"/>
      <c r="F28" s="11"/>
      <c r="G28" s="11"/>
      <c r="H28" s="11"/>
    </row>
    <row r="29">
      <c r="A29" s="11"/>
      <c r="B29" s="11"/>
      <c r="C29" s="11"/>
      <c r="D29" s="11"/>
      <c r="E29" s="11"/>
      <c r="F29" s="11"/>
      <c r="G29" s="11"/>
      <c r="H29" s="11"/>
    </row>
    <row r="30">
      <c r="A30" s="11"/>
      <c r="B30" s="11"/>
      <c r="C30" s="11"/>
      <c r="D30" s="11"/>
      <c r="E30" s="11"/>
      <c r="F30" s="11"/>
      <c r="G30" s="11"/>
      <c r="H30" s="11"/>
    </row>
    <row r="31">
      <c r="A31" s="11"/>
      <c r="B31" s="11"/>
      <c r="C31" s="11"/>
      <c r="D31" s="11"/>
      <c r="E31" s="11"/>
      <c r="F31" s="11"/>
      <c r="G31" s="11"/>
      <c r="H31" s="11"/>
    </row>
    <row r="32">
      <c r="A32" s="11"/>
      <c r="B32" s="11"/>
      <c r="C32" s="11"/>
      <c r="D32" s="11"/>
      <c r="E32" s="11"/>
      <c r="F32" s="11"/>
      <c r="G32" s="11"/>
      <c r="H32" s="11"/>
    </row>
    <row r="33">
      <c r="A33" s="11"/>
      <c r="B33" s="11"/>
      <c r="C33" s="11"/>
      <c r="D33" s="11"/>
      <c r="E33" s="11"/>
      <c r="F33" s="11"/>
      <c r="G33" s="11"/>
      <c r="H33" s="11"/>
    </row>
    <row r="34">
      <c r="A34" s="11"/>
      <c r="B34" s="11"/>
      <c r="C34" s="11"/>
      <c r="D34" s="11"/>
      <c r="E34" s="11"/>
      <c r="F34" s="11"/>
      <c r="G34" s="11"/>
      <c r="H34" s="11"/>
    </row>
    <row r="35">
      <c r="A35" s="11"/>
      <c r="B35" s="11"/>
      <c r="C35" s="11"/>
      <c r="D35" s="11"/>
      <c r="E35" s="11"/>
      <c r="F35" s="11"/>
      <c r="G35" s="11"/>
      <c r="H35" s="11"/>
    </row>
    <row r="36">
      <c r="A36" s="11"/>
      <c r="B36" s="11"/>
      <c r="C36" s="11"/>
      <c r="D36" s="11"/>
      <c r="E36" s="11"/>
      <c r="F36" s="11"/>
      <c r="G36" s="11"/>
      <c r="H36" s="11"/>
    </row>
    <row r="37">
      <c r="A37" s="11"/>
      <c r="B37" s="11"/>
      <c r="C37" s="11"/>
      <c r="D37" s="11"/>
      <c r="E37" s="11"/>
      <c r="F37" s="11"/>
      <c r="G37" s="11"/>
      <c r="H37" s="11"/>
    </row>
    <row r="38">
      <c r="A38" s="11"/>
      <c r="B38" s="11"/>
      <c r="C38" s="11"/>
      <c r="D38" s="11"/>
      <c r="E38" s="11"/>
      <c r="F38" s="11"/>
      <c r="G38" s="11"/>
      <c r="H38" s="11"/>
    </row>
    <row r="39">
      <c r="A39" s="11"/>
      <c r="B39" s="11"/>
      <c r="C39" s="11"/>
      <c r="D39" s="11"/>
      <c r="E39" s="11"/>
      <c r="F39" s="11"/>
      <c r="G39" s="11"/>
      <c r="H39" s="11"/>
    </row>
    <row r="40">
      <c r="A40" s="11"/>
      <c r="B40" s="11"/>
      <c r="C40" s="11"/>
      <c r="D40" s="11"/>
      <c r="E40" s="11"/>
      <c r="F40" s="11"/>
      <c r="G40" s="11"/>
      <c r="H40" s="1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0"/>
    <col customWidth="1" min="2" max="2" width="17.5"/>
    <col customWidth="1" min="3" max="3" width="41.5"/>
    <col customWidth="1" min="4" max="4" width="10.88"/>
    <col customWidth="1" min="5" max="5" width="13.75"/>
    <col customWidth="1" min="6" max="6" width="23.38"/>
    <col customWidth="1" min="7" max="7" width="15.0"/>
    <col customWidth="1" min="8" max="8" width="16.0"/>
    <col customWidth="1" min="9" max="9" width="12.25"/>
    <col customWidth="1" min="10" max="10" width="30.63"/>
    <col customWidth="1" min="11" max="11" width="17.75"/>
    <col customWidth="1" min="12" max="12" width="14.38"/>
    <col customWidth="1" min="13" max="13" width="13.75"/>
    <col customWidth="1" min="14" max="14" width="16.0"/>
    <col customWidth="1" min="15" max="15" width="14.38"/>
    <col customWidth="1" min="16" max="16" width="23.13"/>
    <col customWidth="1" min="17" max="17" width="32.5"/>
    <col customWidth="1" min="18" max="18" width="19.0"/>
    <col customWidth="1" min="19" max="19" width="47.63"/>
    <col customWidth="1" min="20" max="20" width="16.0"/>
    <col customWidth="1" min="21" max="21" width="37.5"/>
  </cols>
  <sheetData>
    <row r="1" ht="11.25" customHeight="1">
      <c r="A1" s="358" t="s">
        <v>34</v>
      </c>
      <c r="B1" s="358" t="s">
        <v>72</v>
      </c>
      <c r="C1" s="358" t="s">
        <v>625</v>
      </c>
      <c r="D1" s="358" t="s">
        <v>626</v>
      </c>
      <c r="E1" s="359" t="s">
        <v>627</v>
      </c>
      <c r="F1" s="360" t="s">
        <v>95</v>
      </c>
      <c r="G1" s="360" t="s">
        <v>628</v>
      </c>
      <c r="H1" s="360" t="s">
        <v>94</v>
      </c>
      <c r="I1" s="358" t="s">
        <v>629</v>
      </c>
      <c r="J1" s="358" t="s">
        <v>630</v>
      </c>
      <c r="K1" s="361" t="s">
        <v>69</v>
      </c>
      <c r="L1" s="361" t="s">
        <v>199</v>
      </c>
      <c r="M1" s="361" t="s">
        <v>70</v>
      </c>
      <c r="N1" s="361" t="s">
        <v>71</v>
      </c>
      <c r="O1" s="362" t="s">
        <v>9</v>
      </c>
      <c r="P1" s="363" t="s">
        <v>87</v>
      </c>
      <c r="Q1" s="363" t="s">
        <v>70</v>
      </c>
      <c r="R1" s="358" t="s">
        <v>190</v>
      </c>
      <c r="S1" s="358" t="s">
        <v>631</v>
      </c>
      <c r="T1" s="358" t="s">
        <v>71</v>
      </c>
      <c r="U1" s="364"/>
    </row>
    <row r="2" ht="11.25" customHeight="1">
      <c r="A2" s="365" t="s">
        <v>112</v>
      </c>
      <c r="B2" s="366" t="s">
        <v>66</v>
      </c>
      <c r="C2" s="366" t="s">
        <v>632</v>
      </c>
      <c r="D2" s="365" t="s">
        <v>65</v>
      </c>
      <c r="E2" s="366" t="s">
        <v>215</v>
      </c>
      <c r="F2" s="367" t="s">
        <v>135</v>
      </c>
      <c r="G2" s="367" t="s">
        <v>135</v>
      </c>
      <c r="H2" s="367" t="s">
        <v>135</v>
      </c>
      <c r="I2" s="368">
        <v>45292.0</v>
      </c>
      <c r="J2" s="316" t="s">
        <v>633</v>
      </c>
      <c r="K2" s="369">
        <v>1.0</v>
      </c>
      <c r="L2" s="370" t="s">
        <v>634</v>
      </c>
      <c r="M2" s="370" t="s">
        <v>79</v>
      </c>
      <c r="N2" s="370" t="s">
        <v>83</v>
      </c>
      <c r="O2" s="366" t="s">
        <v>14</v>
      </c>
      <c r="P2" s="366" t="s">
        <v>353</v>
      </c>
      <c r="Q2" s="366" t="s">
        <v>79</v>
      </c>
      <c r="R2" s="371" t="s">
        <v>357</v>
      </c>
      <c r="S2" s="366" t="s">
        <v>635</v>
      </c>
      <c r="T2" s="371" t="s">
        <v>83</v>
      </c>
      <c r="U2" s="364"/>
    </row>
    <row r="3" ht="11.25" customHeight="1">
      <c r="A3" s="365" t="s">
        <v>34</v>
      </c>
      <c r="B3" s="366" t="s">
        <v>65</v>
      </c>
      <c r="C3" s="366" t="s">
        <v>636</v>
      </c>
      <c r="D3" s="365" t="s">
        <v>64</v>
      </c>
      <c r="E3" s="366" t="s">
        <v>637</v>
      </c>
      <c r="F3" s="367" t="s">
        <v>103</v>
      </c>
      <c r="G3" s="367" t="s">
        <v>638</v>
      </c>
      <c r="H3" s="367" t="s">
        <v>102</v>
      </c>
      <c r="I3" s="368">
        <v>45293.0</v>
      </c>
      <c r="J3" s="316" t="s">
        <v>639</v>
      </c>
      <c r="K3" s="369">
        <v>2.0</v>
      </c>
      <c r="L3" s="370" t="s">
        <v>640</v>
      </c>
      <c r="M3" s="370" t="s">
        <v>79</v>
      </c>
      <c r="N3" s="370" t="s">
        <v>80</v>
      </c>
      <c r="O3" s="366"/>
      <c r="P3" s="366" t="s">
        <v>414</v>
      </c>
      <c r="Q3" s="366" t="s">
        <v>79</v>
      </c>
      <c r="R3" s="366" t="s">
        <v>641</v>
      </c>
      <c r="S3" s="366" t="s">
        <v>642</v>
      </c>
      <c r="T3" s="371" t="s">
        <v>83</v>
      </c>
      <c r="U3" s="364"/>
    </row>
    <row r="4" ht="11.25" customHeight="1">
      <c r="A4" s="365" t="s">
        <v>643</v>
      </c>
      <c r="B4" s="366" t="s">
        <v>64</v>
      </c>
      <c r="C4" s="366" t="s">
        <v>644</v>
      </c>
      <c r="D4" s="365" t="s">
        <v>63</v>
      </c>
      <c r="E4" s="367"/>
      <c r="F4" s="367" t="s">
        <v>106</v>
      </c>
      <c r="G4" s="367" t="s">
        <v>638</v>
      </c>
      <c r="H4" s="367" t="s">
        <v>102</v>
      </c>
      <c r="I4" s="368">
        <v>45348.0</v>
      </c>
      <c r="J4" s="316" t="s">
        <v>645</v>
      </c>
      <c r="K4" s="369">
        <v>3.0</v>
      </c>
      <c r="L4" s="370" t="s">
        <v>646</v>
      </c>
      <c r="M4" s="370" t="s">
        <v>180</v>
      </c>
      <c r="N4" s="370" t="s">
        <v>83</v>
      </c>
      <c r="O4" s="366"/>
      <c r="P4" s="366" t="s">
        <v>491</v>
      </c>
      <c r="Q4" s="366" t="s">
        <v>79</v>
      </c>
      <c r="R4" s="366" t="s">
        <v>647</v>
      </c>
      <c r="S4" s="366" t="s">
        <v>648</v>
      </c>
      <c r="T4" s="371" t="s">
        <v>83</v>
      </c>
      <c r="U4" s="364"/>
    </row>
    <row r="5" ht="11.25" customHeight="1">
      <c r="A5" s="365" t="s">
        <v>649</v>
      </c>
      <c r="B5" s="366" t="s">
        <v>63</v>
      </c>
      <c r="C5" s="366" t="s">
        <v>650</v>
      </c>
      <c r="D5" s="365" t="s">
        <v>651</v>
      </c>
      <c r="E5" s="367"/>
      <c r="F5" s="367" t="s">
        <v>110</v>
      </c>
      <c r="G5" s="367" t="s">
        <v>652</v>
      </c>
      <c r="H5" s="367" t="s">
        <v>109</v>
      </c>
      <c r="I5" s="368">
        <v>45390.0</v>
      </c>
      <c r="J5" s="316" t="s">
        <v>653</v>
      </c>
      <c r="K5" s="369">
        <v>4.0</v>
      </c>
      <c r="L5" s="370" t="s">
        <v>654</v>
      </c>
      <c r="M5" s="370" t="s">
        <v>180</v>
      </c>
      <c r="N5" s="370" t="s">
        <v>80</v>
      </c>
      <c r="O5" s="366"/>
      <c r="P5" s="366" t="s">
        <v>559</v>
      </c>
      <c r="Q5" s="366" t="s">
        <v>79</v>
      </c>
      <c r="R5" s="366" t="s">
        <v>655</v>
      </c>
      <c r="S5" s="366" t="s">
        <v>656</v>
      </c>
      <c r="T5" s="371" t="s">
        <v>83</v>
      </c>
      <c r="U5" s="364"/>
    </row>
    <row r="6" ht="11.25" customHeight="1">
      <c r="A6" s="365"/>
      <c r="B6" s="366" t="s">
        <v>62</v>
      </c>
      <c r="C6" s="366" t="s">
        <v>657</v>
      </c>
      <c r="D6" s="366" t="s">
        <v>658</v>
      </c>
      <c r="E6" s="367"/>
      <c r="F6" s="367" t="s">
        <v>113</v>
      </c>
      <c r="G6" s="367" t="s">
        <v>652</v>
      </c>
      <c r="H6" s="367" t="s">
        <v>112</v>
      </c>
      <c r="I6" s="368">
        <v>45397.0</v>
      </c>
      <c r="J6" s="316" t="s">
        <v>659</v>
      </c>
      <c r="K6" s="369">
        <v>5.0</v>
      </c>
      <c r="L6" s="370" t="s">
        <v>660</v>
      </c>
      <c r="M6" s="370" t="s">
        <v>79</v>
      </c>
      <c r="N6" s="370" t="s">
        <v>84</v>
      </c>
      <c r="O6" s="366"/>
      <c r="P6" s="366"/>
      <c r="Q6" s="366" t="s">
        <v>180</v>
      </c>
      <c r="R6" s="366" t="s">
        <v>661</v>
      </c>
      <c r="S6" s="366" t="s">
        <v>662</v>
      </c>
      <c r="T6" s="371" t="s">
        <v>80</v>
      </c>
      <c r="U6" s="364"/>
    </row>
    <row r="7" ht="11.25" customHeight="1">
      <c r="A7" s="365"/>
      <c r="B7" s="366" t="s">
        <v>61</v>
      </c>
      <c r="C7" s="366" t="s">
        <v>663</v>
      </c>
      <c r="D7" s="365"/>
      <c r="E7" s="367"/>
      <c r="F7" s="367" t="s">
        <v>116</v>
      </c>
      <c r="G7" s="367" t="s">
        <v>652</v>
      </c>
      <c r="H7" s="367" t="s">
        <v>112</v>
      </c>
      <c r="I7" s="368">
        <v>45398.0</v>
      </c>
      <c r="J7" s="316" t="s">
        <v>664</v>
      </c>
      <c r="K7" s="369">
        <v>6.0</v>
      </c>
      <c r="L7" s="370" t="s">
        <v>665</v>
      </c>
      <c r="M7" s="370" t="s">
        <v>180</v>
      </c>
      <c r="N7" s="370" t="s">
        <v>84</v>
      </c>
      <c r="O7" s="366"/>
      <c r="P7" s="366"/>
      <c r="Q7" s="366"/>
      <c r="R7" s="366" t="s">
        <v>666</v>
      </c>
      <c r="S7" s="366" t="s">
        <v>667</v>
      </c>
      <c r="T7" s="371" t="s">
        <v>80</v>
      </c>
      <c r="U7" s="364"/>
    </row>
    <row r="8" ht="11.25" customHeight="1">
      <c r="A8" s="365"/>
      <c r="B8" s="366" t="s">
        <v>60</v>
      </c>
      <c r="C8" s="366" t="s">
        <v>668</v>
      </c>
      <c r="D8" s="365"/>
      <c r="E8" s="366"/>
      <c r="F8" s="366" t="s">
        <v>118</v>
      </c>
      <c r="G8" s="367" t="s">
        <v>652</v>
      </c>
      <c r="H8" s="367" t="s">
        <v>112</v>
      </c>
      <c r="I8" s="368">
        <v>45413.0</v>
      </c>
      <c r="J8" s="316" t="s">
        <v>669</v>
      </c>
      <c r="K8" s="369">
        <v>7.0</v>
      </c>
      <c r="L8" s="370" t="s">
        <v>670</v>
      </c>
      <c r="M8" s="370" t="s">
        <v>184</v>
      </c>
      <c r="N8" s="370" t="s">
        <v>83</v>
      </c>
      <c r="O8" s="366"/>
      <c r="P8" s="366"/>
      <c r="Q8" s="366"/>
      <c r="R8" s="366" t="s">
        <v>671</v>
      </c>
      <c r="S8" s="366" t="s">
        <v>672</v>
      </c>
      <c r="T8" s="371" t="s">
        <v>80</v>
      </c>
      <c r="U8" s="366"/>
    </row>
    <row r="9" ht="11.25" customHeight="1">
      <c r="A9" s="365"/>
      <c r="B9" s="366" t="s">
        <v>59</v>
      </c>
      <c r="C9" s="366" t="s">
        <v>673</v>
      </c>
      <c r="D9" s="365"/>
      <c r="E9" s="367"/>
      <c r="F9" s="367" t="s">
        <v>120</v>
      </c>
      <c r="G9" s="367" t="s">
        <v>652</v>
      </c>
      <c r="H9" s="367" t="s">
        <v>112</v>
      </c>
      <c r="I9" s="368">
        <v>45418.0</v>
      </c>
      <c r="J9" s="316" t="s">
        <v>674</v>
      </c>
      <c r="K9" s="369">
        <v>8.0</v>
      </c>
      <c r="L9" s="370" t="s">
        <v>675</v>
      </c>
      <c r="M9" s="370" t="s">
        <v>184</v>
      </c>
      <c r="N9" s="370" t="s">
        <v>80</v>
      </c>
      <c r="O9" s="366"/>
      <c r="P9" s="366"/>
      <c r="Q9" s="366"/>
      <c r="R9" s="366" t="s">
        <v>676</v>
      </c>
      <c r="S9" s="366" t="s">
        <v>677</v>
      </c>
      <c r="T9" s="371" t="s">
        <v>80</v>
      </c>
      <c r="U9" s="364"/>
    </row>
    <row r="10" ht="11.25" customHeight="1">
      <c r="A10" s="365"/>
      <c r="B10" s="365"/>
      <c r="C10" s="365"/>
      <c r="D10" s="365"/>
      <c r="E10" s="367"/>
      <c r="F10" s="367" t="s">
        <v>678</v>
      </c>
      <c r="G10" s="367" t="s">
        <v>652</v>
      </c>
      <c r="H10" s="367" t="s">
        <v>112</v>
      </c>
      <c r="I10" s="368">
        <v>45434.0</v>
      </c>
      <c r="J10" s="316" t="s">
        <v>679</v>
      </c>
      <c r="K10" s="369">
        <v>9.0</v>
      </c>
      <c r="L10" s="370" t="s">
        <v>680</v>
      </c>
      <c r="M10" s="370" t="s">
        <v>184</v>
      </c>
      <c r="N10" s="370" t="s">
        <v>84</v>
      </c>
      <c r="O10" s="366"/>
      <c r="P10" s="366"/>
      <c r="Q10" s="366"/>
      <c r="R10" s="366" t="s">
        <v>678</v>
      </c>
      <c r="S10" s="366" t="s">
        <v>681</v>
      </c>
      <c r="T10" s="371" t="s">
        <v>84</v>
      </c>
      <c r="U10" s="364"/>
    </row>
    <row r="11" ht="11.25" customHeight="1">
      <c r="A11" s="365"/>
      <c r="B11" s="365"/>
      <c r="C11" s="365"/>
      <c r="D11" s="365"/>
      <c r="E11" s="367"/>
      <c r="F11" s="367" t="s">
        <v>125</v>
      </c>
      <c r="G11" s="367" t="s">
        <v>682</v>
      </c>
      <c r="H11" s="367" t="s">
        <v>124</v>
      </c>
      <c r="I11" s="368">
        <v>45446.0</v>
      </c>
      <c r="J11" s="316" t="s">
        <v>683</v>
      </c>
      <c r="K11" s="366"/>
      <c r="L11" s="366"/>
      <c r="M11" s="366"/>
      <c r="N11" s="366"/>
      <c r="O11" s="366"/>
      <c r="P11" s="366"/>
      <c r="Q11" s="366"/>
      <c r="R11" s="371" t="s">
        <v>684</v>
      </c>
      <c r="S11" s="366" t="s">
        <v>685</v>
      </c>
      <c r="T11" s="371" t="s">
        <v>84</v>
      </c>
      <c r="U11" s="364"/>
    </row>
    <row r="12" ht="11.25" customHeight="1">
      <c r="A12" s="365"/>
      <c r="B12" s="365"/>
      <c r="C12" s="365"/>
      <c r="D12" s="365"/>
      <c r="E12" s="367"/>
      <c r="F12" s="367" t="s">
        <v>686</v>
      </c>
      <c r="G12" s="367" t="s">
        <v>682</v>
      </c>
      <c r="H12" s="367" t="s">
        <v>124</v>
      </c>
      <c r="I12" s="368">
        <v>45495.0</v>
      </c>
      <c r="J12" s="316" t="s">
        <v>687</v>
      </c>
      <c r="K12" s="366"/>
      <c r="L12" s="366"/>
      <c r="M12" s="366"/>
      <c r="N12" s="366"/>
      <c r="O12" s="366"/>
      <c r="P12" s="366"/>
      <c r="Q12" s="366"/>
      <c r="R12" s="371"/>
      <c r="S12" s="371"/>
      <c r="T12" s="371"/>
      <c r="U12" s="364"/>
    </row>
    <row r="13" ht="10.5" customHeight="1">
      <c r="A13" s="365"/>
      <c r="B13" s="365"/>
      <c r="C13" s="365"/>
      <c r="D13" s="365"/>
      <c r="E13" s="367"/>
      <c r="F13" s="367" t="s">
        <v>129</v>
      </c>
      <c r="G13" s="367" t="s">
        <v>682</v>
      </c>
      <c r="H13" s="367" t="s">
        <v>124</v>
      </c>
      <c r="I13" s="368">
        <v>45502.0</v>
      </c>
      <c r="J13" s="316" t="s">
        <v>688</v>
      </c>
      <c r="K13" s="366"/>
      <c r="L13" s="366"/>
      <c r="M13" s="366"/>
      <c r="N13" s="366"/>
      <c r="O13" s="366"/>
      <c r="P13" s="366"/>
      <c r="Q13" s="366"/>
      <c r="R13" s="372"/>
      <c r="S13" s="372"/>
      <c r="T13" s="372"/>
      <c r="U13" s="364"/>
    </row>
    <row r="14" ht="10.5" customHeight="1">
      <c r="A14" s="365"/>
      <c r="B14" s="365"/>
      <c r="C14" s="365"/>
      <c r="D14" s="365"/>
      <c r="E14" s="366"/>
      <c r="F14" s="366" t="s">
        <v>131</v>
      </c>
      <c r="G14" s="367" t="s">
        <v>131</v>
      </c>
      <c r="H14" s="367" t="s">
        <v>131</v>
      </c>
      <c r="I14" s="368">
        <v>45516.0</v>
      </c>
      <c r="J14" s="316" t="s">
        <v>689</v>
      </c>
      <c r="K14" s="366"/>
      <c r="L14" s="366"/>
      <c r="M14" s="366"/>
      <c r="N14" s="366"/>
      <c r="O14" s="366"/>
      <c r="P14" s="366"/>
      <c r="Q14" s="366"/>
      <c r="R14" s="372"/>
      <c r="S14" s="372"/>
      <c r="T14" s="372"/>
      <c r="U14" s="364"/>
    </row>
    <row r="15" ht="10.5" customHeight="1">
      <c r="A15" s="365"/>
      <c r="B15" s="365"/>
      <c r="C15" s="365"/>
      <c r="D15" s="365"/>
      <c r="E15" s="367"/>
      <c r="F15" s="367" t="s">
        <v>133</v>
      </c>
      <c r="G15" s="367" t="s">
        <v>131</v>
      </c>
      <c r="H15" s="367" t="s">
        <v>131</v>
      </c>
      <c r="I15" s="368">
        <v>45579.0</v>
      </c>
      <c r="J15" s="316" t="s">
        <v>690</v>
      </c>
      <c r="K15" s="366"/>
      <c r="L15" s="366"/>
      <c r="M15" s="366"/>
      <c r="N15" s="366"/>
      <c r="O15" s="366"/>
      <c r="P15" s="366"/>
      <c r="Q15" s="366"/>
      <c r="R15" s="372"/>
      <c r="S15" s="372"/>
      <c r="T15" s="372"/>
      <c r="U15" s="364"/>
    </row>
    <row r="16" ht="10.5" customHeight="1">
      <c r="A16" s="365"/>
      <c r="B16" s="365"/>
      <c r="C16" s="365"/>
      <c r="D16" s="365"/>
      <c r="E16" s="373"/>
      <c r="F16" s="373"/>
      <c r="G16" s="373"/>
      <c r="H16" s="373"/>
      <c r="I16" s="368">
        <v>45649.0</v>
      </c>
      <c r="J16" s="316" t="s">
        <v>691</v>
      </c>
      <c r="K16" s="366"/>
      <c r="L16" s="366"/>
      <c r="M16" s="366"/>
      <c r="N16" s="366"/>
      <c r="O16" s="366"/>
      <c r="P16" s="366"/>
      <c r="Q16" s="366"/>
      <c r="R16" s="372"/>
      <c r="S16" s="372"/>
      <c r="T16" s="372"/>
      <c r="U16" s="364"/>
    </row>
    <row r="17" ht="16.5" customHeight="1">
      <c r="A17" s="365"/>
      <c r="B17" s="365"/>
      <c r="C17" s="365"/>
      <c r="D17" s="365"/>
      <c r="E17" s="373"/>
      <c r="F17" s="373"/>
      <c r="G17" s="373"/>
      <c r="H17" s="373"/>
      <c r="I17" s="368">
        <v>45631.0</v>
      </c>
      <c r="J17" s="316" t="s">
        <v>692</v>
      </c>
      <c r="K17" s="366"/>
      <c r="L17" s="366"/>
      <c r="M17" s="366"/>
      <c r="N17" s="366"/>
      <c r="O17" s="366"/>
      <c r="P17" s="366"/>
      <c r="Q17" s="366"/>
      <c r="R17" s="372"/>
      <c r="S17" s="372"/>
      <c r="T17" s="372"/>
      <c r="U17" s="364"/>
    </row>
    <row r="18" ht="21.75" customHeight="1">
      <c r="A18" s="365"/>
      <c r="B18" s="365"/>
      <c r="C18" s="365"/>
      <c r="D18" s="365"/>
      <c r="E18" s="373"/>
      <c r="F18" s="373"/>
      <c r="G18" s="373"/>
      <c r="H18" s="373"/>
      <c r="I18" s="368">
        <v>45636.0</v>
      </c>
      <c r="J18" s="316" t="s">
        <v>693</v>
      </c>
      <c r="K18" s="366"/>
      <c r="L18" s="366"/>
      <c r="M18" s="366"/>
      <c r="N18" s="366"/>
      <c r="O18" s="366"/>
      <c r="P18" s="366"/>
      <c r="Q18" s="366"/>
      <c r="R18" s="372"/>
      <c r="S18" s="372"/>
      <c r="T18" s="372"/>
      <c r="U18" s="364"/>
    </row>
    <row r="19" ht="10.5" customHeight="1">
      <c r="A19" s="365"/>
      <c r="B19" s="365"/>
      <c r="C19" s="365"/>
      <c r="D19" s="365"/>
      <c r="E19" s="373"/>
      <c r="F19" s="373"/>
      <c r="G19" s="373"/>
      <c r="H19" s="373"/>
      <c r="I19" s="368">
        <v>45657.0</v>
      </c>
      <c r="J19" s="316" t="s">
        <v>694</v>
      </c>
      <c r="K19" s="366"/>
      <c r="L19" s="366"/>
      <c r="M19" s="366"/>
      <c r="N19" s="366"/>
      <c r="O19" s="366"/>
      <c r="P19" s="366"/>
      <c r="Q19" s="366"/>
      <c r="R19" s="372"/>
      <c r="S19" s="372"/>
      <c r="T19" s="372"/>
      <c r="U19" s="364"/>
    </row>
    <row r="20" ht="10.5" customHeight="1">
      <c r="A20" s="365"/>
      <c r="B20" s="365"/>
      <c r="C20" s="365"/>
      <c r="D20" s="365"/>
      <c r="E20" s="373"/>
      <c r="F20" s="373"/>
      <c r="G20" s="373"/>
      <c r="H20" s="373"/>
      <c r="I20" s="368">
        <v>45658.0</v>
      </c>
      <c r="J20" s="316" t="s">
        <v>695</v>
      </c>
      <c r="K20" s="366"/>
      <c r="L20" s="366"/>
      <c r="M20" s="366"/>
      <c r="N20" s="366"/>
      <c r="O20" s="366"/>
      <c r="P20" s="365"/>
      <c r="Q20" s="3"/>
      <c r="R20" s="3"/>
      <c r="S20" s="3"/>
      <c r="T20" s="3"/>
      <c r="U20" s="3"/>
    </row>
    <row r="21" ht="10.5" customHeight="1">
      <c r="A21" s="365"/>
      <c r="B21" s="365"/>
      <c r="C21" s="365"/>
      <c r="D21" s="365"/>
      <c r="E21" s="373"/>
      <c r="F21" s="373"/>
      <c r="G21" s="373"/>
      <c r="H21" s="373"/>
      <c r="I21" s="368">
        <v>45700.0</v>
      </c>
      <c r="J21" s="316" t="s">
        <v>696</v>
      </c>
      <c r="K21" s="366"/>
      <c r="L21" s="366"/>
      <c r="M21" s="366"/>
      <c r="N21" s="366"/>
      <c r="O21" s="366"/>
      <c r="P21" s="365"/>
      <c r="Q21" s="3"/>
      <c r="R21" s="3"/>
      <c r="S21" s="3"/>
      <c r="T21" s="3"/>
      <c r="U21" s="3"/>
    </row>
    <row r="22" ht="10.5" customHeight="1">
      <c r="A22" s="365"/>
      <c r="B22" s="365"/>
      <c r="C22" s="365"/>
      <c r="D22" s="365"/>
      <c r="E22" s="373"/>
      <c r="F22" s="373"/>
      <c r="G22" s="373"/>
      <c r="H22" s="373"/>
      <c r="I22" s="368">
        <v>45754.0</v>
      </c>
      <c r="J22" s="311" t="s">
        <v>697</v>
      </c>
      <c r="K22" s="366"/>
      <c r="L22" s="366"/>
      <c r="M22" s="366"/>
      <c r="N22" s="366"/>
      <c r="O22" s="366"/>
      <c r="P22" s="365"/>
      <c r="Q22" s="3"/>
      <c r="R22" s="3"/>
      <c r="S22" s="3"/>
      <c r="T22" s="3"/>
      <c r="U22" s="3"/>
    </row>
    <row r="23" ht="10.5" customHeight="1">
      <c r="A23" s="365"/>
      <c r="B23" s="365"/>
      <c r="C23" s="365"/>
      <c r="D23" s="365"/>
      <c r="E23" s="373"/>
      <c r="F23" s="373"/>
      <c r="G23" s="373"/>
      <c r="H23" s="373"/>
      <c r="I23" s="368">
        <v>45761.0</v>
      </c>
      <c r="J23" s="311" t="s">
        <v>659</v>
      </c>
      <c r="K23" s="366"/>
      <c r="L23" s="366"/>
      <c r="M23" s="366"/>
      <c r="N23" s="366"/>
      <c r="O23" s="366"/>
      <c r="P23" s="366"/>
      <c r="Q23" s="3"/>
      <c r="R23" s="3"/>
      <c r="S23" s="3"/>
      <c r="T23" s="3"/>
      <c r="U23" s="3"/>
    </row>
    <row r="24" ht="10.5" customHeight="1">
      <c r="A24" s="365"/>
      <c r="B24" s="365"/>
      <c r="C24" s="365"/>
      <c r="D24" s="365"/>
      <c r="E24" s="373"/>
      <c r="F24" s="373"/>
      <c r="G24" s="373"/>
      <c r="H24" s="373"/>
      <c r="I24" s="368">
        <v>45762.0</v>
      </c>
      <c r="J24" s="311" t="s">
        <v>659</v>
      </c>
      <c r="K24" s="366"/>
      <c r="L24" s="366"/>
      <c r="M24" s="366"/>
      <c r="N24" s="366"/>
      <c r="O24" s="366"/>
      <c r="P24" s="366"/>
      <c r="Q24" s="3"/>
      <c r="R24" s="3"/>
      <c r="S24" s="3"/>
      <c r="T24" s="3"/>
      <c r="U24" s="3"/>
    </row>
    <row r="25" ht="10.5" customHeight="1">
      <c r="A25" s="365"/>
      <c r="B25" s="365"/>
      <c r="C25" s="365"/>
      <c r="D25" s="365"/>
      <c r="E25" s="373"/>
      <c r="F25" s="373"/>
      <c r="G25" s="373"/>
      <c r="H25" s="373"/>
      <c r="I25" s="368">
        <v>45778.0</v>
      </c>
      <c r="J25" s="311" t="s">
        <v>669</v>
      </c>
      <c r="K25" s="366"/>
      <c r="L25" s="366"/>
      <c r="M25" s="366"/>
      <c r="N25" s="366"/>
      <c r="O25" s="366"/>
      <c r="P25" s="366"/>
      <c r="Q25" s="3"/>
      <c r="R25" s="3"/>
      <c r="S25" s="3"/>
      <c r="T25" s="3"/>
      <c r="U25" s="3"/>
    </row>
    <row r="26" ht="10.5" customHeight="1">
      <c r="A26" s="365"/>
      <c r="B26" s="365"/>
      <c r="C26" s="365"/>
      <c r="D26" s="365"/>
      <c r="E26" s="373"/>
      <c r="F26" s="373"/>
      <c r="G26" s="373"/>
      <c r="H26" s="373"/>
      <c r="I26" s="368">
        <v>45782.0</v>
      </c>
      <c r="J26" s="311" t="s">
        <v>698</v>
      </c>
      <c r="K26" s="366"/>
      <c r="L26" s="366"/>
      <c r="M26" s="366"/>
      <c r="N26" s="366"/>
      <c r="O26" s="366"/>
      <c r="P26" s="366"/>
      <c r="Q26" s="3"/>
      <c r="R26" s="3"/>
      <c r="S26" s="3"/>
      <c r="T26" s="3"/>
      <c r="U26" s="3"/>
    </row>
    <row r="27" ht="10.5" customHeight="1">
      <c r="A27" s="365"/>
      <c r="B27" s="365"/>
      <c r="C27" s="365"/>
      <c r="D27" s="365"/>
      <c r="E27" s="373"/>
      <c r="F27" s="373"/>
      <c r="G27" s="373"/>
      <c r="H27" s="373"/>
      <c r="I27" s="368">
        <v>45789.0</v>
      </c>
      <c r="J27" s="311" t="s">
        <v>679</v>
      </c>
      <c r="K27" s="366"/>
      <c r="L27" s="366"/>
      <c r="M27" s="366"/>
      <c r="N27" s="366"/>
      <c r="O27" s="366"/>
      <c r="P27" s="3"/>
      <c r="Q27" s="3"/>
      <c r="R27" s="3"/>
      <c r="S27" s="3"/>
      <c r="T27" s="3"/>
      <c r="U27" s="3"/>
    </row>
    <row r="28" ht="10.5" customHeight="1">
      <c r="A28" s="365"/>
      <c r="B28" s="365"/>
      <c r="C28" s="365"/>
      <c r="D28" s="365"/>
      <c r="E28" s="373"/>
      <c r="F28" s="373"/>
      <c r="G28" s="373"/>
      <c r="H28" s="373"/>
      <c r="I28" s="368">
        <v>45810.0</v>
      </c>
      <c r="J28" s="311" t="s">
        <v>699</v>
      </c>
      <c r="K28" s="366"/>
      <c r="L28" s="366"/>
      <c r="M28" s="366"/>
      <c r="N28" s="366"/>
      <c r="O28" s="366"/>
      <c r="P28" s="3"/>
      <c r="Q28" s="3"/>
      <c r="R28" s="3"/>
      <c r="S28" s="3"/>
      <c r="T28" s="3"/>
      <c r="U28" s="3"/>
    </row>
    <row r="29" ht="10.5" customHeight="1">
      <c r="A29" s="365"/>
      <c r="B29" s="365"/>
      <c r="C29" s="365"/>
      <c r="D29" s="365"/>
      <c r="E29" s="373"/>
      <c r="F29" s="373"/>
      <c r="G29" s="373"/>
      <c r="H29" s="373"/>
      <c r="I29" s="368">
        <v>45811.0</v>
      </c>
      <c r="J29" s="311" t="s">
        <v>683</v>
      </c>
      <c r="K29" s="366"/>
      <c r="L29" s="366"/>
      <c r="M29" s="366"/>
      <c r="N29" s="366"/>
      <c r="O29" s="366"/>
      <c r="P29" s="3"/>
      <c r="Q29" s="3"/>
      <c r="R29" s="3"/>
      <c r="S29" s="3"/>
      <c r="T29" s="3"/>
      <c r="U29" s="3"/>
    </row>
    <row r="30" ht="10.5" customHeight="1">
      <c r="A30" s="365"/>
      <c r="B30" s="365"/>
      <c r="C30" s="365"/>
      <c r="D30" s="365"/>
      <c r="E30" s="373"/>
      <c r="F30" s="373"/>
      <c r="G30" s="373"/>
      <c r="H30" s="373"/>
      <c r="I30" s="368">
        <v>45848.0</v>
      </c>
      <c r="J30" s="311" t="s">
        <v>700</v>
      </c>
      <c r="K30" s="366"/>
      <c r="L30" s="366"/>
      <c r="M30" s="366"/>
      <c r="N30" s="366"/>
      <c r="O30" s="366"/>
      <c r="P30" s="3"/>
      <c r="Q30" s="3"/>
      <c r="R30" s="3"/>
      <c r="S30" s="3"/>
      <c r="T30" s="3"/>
      <c r="U30" s="3"/>
    </row>
    <row r="31" ht="10.5" customHeight="1">
      <c r="A31" s="365"/>
      <c r="B31" s="365"/>
      <c r="C31" s="365"/>
      <c r="D31" s="365"/>
      <c r="E31" s="373"/>
      <c r="F31" s="373"/>
      <c r="G31" s="373"/>
      <c r="H31" s="373"/>
      <c r="I31" s="368">
        <v>45866.0</v>
      </c>
      <c r="J31" s="311" t="s">
        <v>701</v>
      </c>
      <c r="K31" s="366"/>
      <c r="L31" s="366"/>
      <c r="M31" s="366"/>
      <c r="N31" s="366"/>
      <c r="O31" s="366"/>
      <c r="P31" s="3"/>
      <c r="Q31" s="3"/>
      <c r="R31" s="3"/>
      <c r="S31" s="3"/>
      <c r="T31" s="3"/>
      <c r="U31" s="3"/>
    </row>
    <row r="32" ht="10.5" customHeight="1">
      <c r="A32" s="365"/>
      <c r="B32" s="365"/>
      <c r="C32" s="365"/>
      <c r="D32" s="365"/>
      <c r="E32" s="373"/>
      <c r="F32" s="373"/>
      <c r="G32" s="373"/>
      <c r="H32" s="373"/>
      <c r="I32" s="368">
        <v>45880.0</v>
      </c>
      <c r="J32" s="311" t="s">
        <v>699</v>
      </c>
      <c r="K32" s="366"/>
      <c r="L32" s="366"/>
      <c r="M32" s="366"/>
      <c r="N32" s="366"/>
      <c r="O32" s="366"/>
      <c r="P32" s="3"/>
      <c r="Q32" s="3"/>
      <c r="R32" s="3"/>
      <c r="S32" s="3"/>
      <c r="T32" s="3"/>
      <c r="U32" s="3"/>
    </row>
    <row r="33" ht="10.5" customHeight="1">
      <c r="A33" s="365"/>
      <c r="B33" s="365"/>
      <c r="C33" s="365"/>
      <c r="D33" s="365"/>
      <c r="E33" s="373"/>
      <c r="F33" s="373"/>
      <c r="G33" s="373"/>
      <c r="H33" s="373"/>
      <c r="I33" s="368">
        <v>45881.0</v>
      </c>
      <c r="J33" s="311" t="s">
        <v>702</v>
      </c>
      <c r="K33" s="366"/>
      <c r="L33" s="366"/>
      <c r="M33" s="366"/>
      <c r="N33" s="366"/>
      <c r="O33" s="366"/>
      <c r="P33" s="3"/>
      <c r="Q33" s="3"/>
      <c r="R33" s="3"/>
      <c r="S33" s="3"/>
      <c r="T33" s="3"/>
      <c r="U33" s="3"/>
    </row>
    <row r="34" ht="10.5" customHeight="1">
      <c r="A34" s="365"/>
      <c r="B34" s="365"/>
      <c r="C34" s="365"/>
      <c r="D34" s="365"/>
      <c r="E34" s="373"/>
      <c r="F34" s="373"/>
      <c r="G34" s="373"/>
      <c r="H34" s="373"/>
      <c r="I34" s="368">
        <v>45943.0</v>
      </c>
      <c r="J34" s="311" t="s">
        <v>703</v>
      </c>
      <c r="K34" s="366"/>
      <c r="L34" s="366"/>
      <c r="M34" s="366"/>
      <c r="N34" s="366"/>
      <c r="O34" s="366"/>
      <c r="P34" s="3"/>
      <c r="Q34" s="3"/>
      <c r="R34" s="3"/>
      <c r="S34" s="3"/>
      <c r="T34" s="3"/>
      <c r="U34" s="3"/>
    </row>
    <row r="35" ht="10.5" customHeight="1">
      <c r="A35" s="365"/>
      <c r="B35" s="365"/>
      <c r="C35" s="365"/>
      <c r="D35" s="365"/>
      <c r="E35" s="373"/>
      <c r="F35" s="373"/>
      <c r="G35" s="373"/>
      <c r="H35" s="373"/>
      <c r="I35" s="368">
        <v>45953.0</v>
      </c>
      <c r="J35" s="311" t="s">
        <v>691</v>
      </c>
      <c r="K35" s="366"/>
      <c r="L35" s="366"/>
      <c r="M35" s="366"/>
      <c r="N35" s="366"/>
      <c r="O35" s="366"/>
      <c r="P35" s="3"/>
      <c r="Q35" s="3"/>
      <c r="R35" s="3"/>
      <c r="S35" s="3"/>
      <c r="T35" s="3"/>
      <c r="U35" s="3"/>
    </row>
    <row r="36" ht="10.5" customHeight="1">
      <c r="A36" s="365"/>
      <c r="B36" s="365"/>
      <c r="C36" s="365"/>
      <c r="D36" s="365"/>
      <c r="E36" s="373"/>
      <c r="F36" s="373"/>
      <c r="G36" s="373"/>
      <c r="H36" s="373"/>
      <c r="I36" s="368">
        <v>45996.0</v>
      </c>
      <c r="J36" s="311" t="s">
        <v>704</v>
      </c>
      <c r="K36" s="366"/>
      <c r="L36" s="366"/>
      <c r="M36" s="366"/>
      <c r="N36" s="366"/>
      <c r="O36" s="366"/>
      <c r="P36" s="3"/>
      <c r="Q36" s="3"/>
      <c r="R36" s="3"/>
      <c r="S36" s="3"/>
      <c r="T36" s="3"/>
      <c r="U36" s="3"/>
    </row>
    <row r="37" ht="10.5" customHeight="1">
      <c r="A37" s="365"/>
      <c r="B37" s="365"/>
      <c r="C37" s="365"/>
      <c r="D37" s="365"/>
      <c r="E37" s="373"/>
      <c r="F37" s="373"/>
      <c r="G37" s="373"/>
      <c r="H37" s="373"/>
      <c r="I37" s="368">
        <v>46001.0</v>
      </c>
      <c r="J37" s="311" t="s">
        <v>705</v>
      </c>
      <c r="K37" s="366"/>
      <c r="L37" s="366"/>
      <c r="M37" s="366"/>
      <c r="N37" s="366"/>
      <c r="O37" s="366"/>
      <c r="P37" s="3"/>
      <c r="Q37" s="3"/>
      <c r="R37" s="3"/>
      <c r="S37" s="3"/>
      <c r="T37" s="3"/>
      <c r="U37" s="3"/>
    </row>
    <row r="38" ht="10.5" customHeight="1">
      <c r="A38" s="365"/>
      <c r="B38" s="365"/>
      <c r="C38" s="365"/>
      <c r="D38" s="365"/>
      <c r="E38" s="373"/>
      <c r="F38" s="373"/>
      <c r="G38" s="373"/>
      <c r="H38" s="373"/>
      <c r="I38" s="368">
        <v>46023.0</v>
      </c>
      <c r="J38" s="316" t="s">
        <v>695</v>
      </c>
      <c r="K38" s="366"/>
      <c r="L38" s="366"/>
      <c r="M38" s="366"/>
      <c r="N38" s="366"/>
      <c r="O38" s="366"/>
      <c r="P38" s="3"/>
      <c r="Q38" s="3"/>
      <c r="R38" s="3"/>
      <c r="S38" s="3"/>
      <c r="T38" s="3"/>
      <c r="U38" s="3"/>
    </row>
    <row r="39" ht="10.5" customHeight="1">
      <c r="A39" s="365"/>
      <c r="B39" s="365"/>
      <c r="C39" s="365"/>
      <c r="D39" s="365"/>
      <c r="E39" s="373"/>
      <c r="F39" s="373"/>
      <c r="G39" s="373"/>
      <c r="H39" s="373"/>
      <c r="I39" s="368">
        <v>46024.0</v>
      </c>
      <c r="J39" s="316" t="s">
        <v>706</v>
      </c>
      <c r="K39" s="366"/>
      <c r="L39" s="366"/>
      <c r="M39" s="366"/>
      <c r="N39" s="366"/>
      <c r="O39" s="366"/>
      <c r="P39" s="3"/>
      <c r="Q39" s="3"/>
      <c r="R39" s="3"/>
      <c r="S39" s="3"/>
      <c r="T39" s="3"/>
      <c r="U39" s="3"/>
    </row>
    <row r="40" ht="10.5" customHeight="1">
      <c r="A40" s="365"/>
      <c r="B40" s="365"/>
      <c r="C40" s="365"/>
      <c r="D40" s="365"/>
      <c r="E40" s="373"/>
      <c r="F40" s="373"/>
      <c r="G40" s="373"/>
      <c r="H40" s="373"/>
      <c r="I40" s="368">
        <v>46084.0</v>
      </c>
      <c r="J40" s="316" t="s">
        <v>696</v>
      </c>
      <c r="K40" s="366"/>
      <c r="L40" s="366"/>
      <c r="M40" s="366"/>
      <c r="N40" s="366"/>
      <c r="O40" s="366"/>
      <c r="P40" s="3"/>
      <c r="Q40" s="3"/>
      <c r="R40" s="3"/>
      <c r="S40" s="3"/>
      <c r="T40" s="3"/>
      <c r="U40" s="3"/>
    </row>
    <row r="41" ht="10.5" customHeight="1">
      <c r="A41" s="365"/>
      <c r="B41" s="365"/>
      <c r="C41" s="365"/>
      <c r="D41" s="365"/>
      <c r="E41" s="373"/>
      <c r="F41" s="373"/>
      <c r="G41" s="373"/>
      <c r="H41" s="373"/>
      <c r="I41" s="368">
        <v>46118.0</v>
      </c>
      <c r="J41" s="311" t="s">
        <v>697</v>
      </c>
      <c r="K41" s="366"/>
      <c r="L41" s="366"/>
      <c r="M41" s="366"/>
      <c r="N41" s="366"/>
      <c r="O41" s="366"/>
      <c r="P41" s="3"/>
      <c r="Q41" s="3"/>
      <c r="R41" s="3"/>
      <c r="S41" s="3"/>
      <c r="T41" s="3"/>
      <c r="U41" s="3"/>
    </row>
    <row r="42" ht="10.5" customHeight="1">
      <c r="A42" s="365"/>
      <c r="B42" s="365"/>
      <c r="C42" s="365"/>
      <c r="D42" s="365"/>
      <c r="E42" s="373"/>
      <c r="F42" s="373"/>
      <c r="G42" s="373"/>
      <c r="H42" s="373"/>
      <c r="I42" s="368">
        <v>46125.0</v>
      </c>
      <c r="J42" s="311" t="s">
        <v>659</v>
      </c>
      <c r="K42" s="366"/>
      <c r="L42" s="366"/>
      <c r="M42" s="366"/>
      <c r="N42" s="366"/>
      <c r="O42" s="366"/>
      <c r="P42" s="3"/>
      <c r="Q42" s="3"/>
      <c r="R42" s="3"/>
      <c r="S42" s="3"/>
      <c r="T42" s="3"/>
      <c r="U42" s="3"/>
    </row>
    <row r="43" ht="10.5" customHeight="1">
      <c r="A43" s="365"/>
      <c r="B43" s="365"/>
      <c r="C43" s="365"/>
      <c r="D43" s="365"/>
      <c r="E43" s="373"/>
      <c r="F43" s="373"/>
      <c r="G43" s="373"/>
      <c r="H43" s="373"/>
      <c r="I43" s="368">
        <v>46126.0</v>
      </c>
      <c r="J43" s="311" t="s">
        <v>659</v>
      </c>
      <c r="K43" s="366"/>
      <c r="L43" s="366"/>
      <c r="M43" s="366"/>
      <c r="N43" s="366"/>
      <c r="O43" s="366"/>
      <c r="P43" s="3"/>
      <c r="Q43" s="3"/>
      <c r="R43" s="3"/>
      <c r="S43" s="3"/>
      <c r="T43" s="3"/>
      <c r="U43" s="3"/>
    </row>
    <row r="44" ht="10.5" customHeight="1">
      <c r="A44" s="365"/>
      <c r="B44" s="365"/>
      <c r="C44" s="365"/>
      <c r="D44" s="365"/>
      <c r="E44" s="373"/>
      <c r="F44" s="373"/>
      <c r="G44" s="373"/>
      <c r="H44" s="373"/>
      <c r="I44" s="368">
        <v>46127.0</v>
      </c>
      <c r="J44" s="311" t="s">
        <v>659</v>
      </c>
      <c r="K44" s="366"/>
      <c r="L44" s="366"/>
      <c r="M44" s="366"/>
      <c r="N44" s="366"/>
      <c r="O44" s="366"/>
      <c r="P44" s="3"/>
      <c r="Q44" s="3"/>
      <c r="R44" s="3"/>
      <c r="S44" s="3"/>
      <c r="T44" s="3"/>
      <c r="U44" s="3"/>
    </row>
    <row r="45" ht="10.5" customHeight="1">
      <c r="A45" s="365"/>
      <c r="B45" s="365"/>
      <c r="C45" s="365"/>
      <c r="D45" s="365"/>
      <c r="E45" s="373"/>
      <c r="F45" s="373"/>
      <c r="G45" s="373"/>
      <c r="H45" s="373"/>
      <c r="I45" s="368">
        <v>46143.0</v>
      </c>
      <c r="J45" s="311" t="s">
        <v>669</v>
      </c>
      <c r="K45" s="366"/>
      <c r="L45" s="366"/>
      <c r="M45" s="366"/>
      <c r="N45" s="366"/>
      <c r="O45" s="366"/>
      <c r="P45" s="3"/>
      <c r="Q45" s="3"/>
      <c r="R45" s="3"/>
      <c r="S45" s="3"/>
      <c r="T45" s="3"/>
      <c r="U45" s="3"/>
    </row>
    <row r="46" ht="10.5" customHeight="1">
      <c r="A46" s="365"/>
      <c r="B46" s="365"/>
      <c r="C46" s="365"/>
      <c r="D46" s="365"/>
      <c r="E46" s="373"/>
      <c r="F46" s="373"/>
      <c r="G46" s="373"/>
      <c r="H46" s="373"/>
      <c r="I46" s="368">
        <v>46146.0</v>
      </c>
      <c r="J46" s="311" t="s">
        <v>698</v>
      </c>
      <c r="K46" s="366"/>
      <c r="L46" s="366"/>
      <c r="M46" s="366"/>
      <c r="N46" s="366"/>
      <c r="O46" s="366"/>
      <c r="P46" s="3"/>
      <c r="Q46" s="3"/>
      <c r="R46" s="3"/>
      <c r="S46" s="3"/>
      <c r="T46" s="3"/>
      <c r="U46" s="3"/>
    </row>
    <row r="47" ht="10.5" customHeight="1">
      <c r="A47" s="365"/>
      <c r="B47" s="365"/>
      <c r="C47" s="365"/>
      <c r="D47" s="365"/>
      <c r="E47" s="373"/>
      <c r="F47" s="373"/>
      <c r="G47" s="373"/>
      <c r="H47" s="373"/>
      <c r="I47" s="368">
        <v>46174.0</v>
      </c>
      <c r="J47" s="311" t="s">
        <v>679</v>
      </c>
      <c r="K47" s="366"/>
      <c r="L47" s="366"/>
      <c r="M47" s="366"/>
      <c r="N47" s="366"/>
      <c r="O47" s="366"/>
      <c r="P47" s="3"/>
      <c r="Q47" s="3"/>
      <c r="R47" s="3"/>
      <c r="S47" s="3"/>
      <c r="T47" s="3"/>
      <c r="U47" s="3"/>
    </row>
    <row r="48" ht="10.5" customHeight="1">
      <c r="A48" s="365"/>
      <c r="B48" s="365"/>
      <c r="C48" s="365"/>
      <c r="D48" s="365"/>
      <c r="E48" s="373"/>
      <c r="F48" s="373"/>
      <c r="G48" s="373"/>
      <c r="H48" s="373"/>
      <c r="I48" s="368">
        <v>46176.0</v>
      </c>
      <c r="J48" s="311" t="s">
        <v>683</v>
      </c>
      <c r="K48" s="366"/>
      <c r="L48" s="366"/>
      <c r="M48" s="366"/>
      <c r="N48" s="366"/>
      <c r="O48" s="366"/>
      <c r="P48" s="3"/>
      <c r="Q48" s="3"/>
      <c r="R48" s="3"/>
      <c r="S48" s="3"/>
      <c r="T48" s="3"/>
      <c r="U48" s="3"/>
    </row>
    <row r="49" ht="10.5" customHeight="1">
      <c r="A49" s="365"/>
      <c r="B49" s="365"/>
      <c r="C49" s="365"/>
      <c r="D49" s="365"/>
      <c r="E49" s="373"/>
      <c r="F49" s="373"/>
      <c r="G49" s="373"/>
      <c r="H49" s="373"/>
      <c r="I49" s="368">
        <v>46231.0</v>
      </c>
      <c r="J49" s="311" t="s">
        <v>701</v>
      </c>
      <c r="K49" s="366"/>
      <c r="L49" s="366"/>
      <c r="M49" s="366"/>
      <c r="N49" s="366"/>
      <c r="O49" s="366"/>
      <c r="P49" s="3"/>
      <c r="Q49" s="3"/>
      <c r="R49" s="3"/>
      <c r="S49" s="3"/>
      <c r="T49" s="3"/>
      <c r="U49" s="3"/>
    </row>
    <row r="50" ht="10.5" customHeight="1">
      <c r="A50" s="365"/>
      <c r="B50" s="365"/>
      <c r="C50" s="365"/>
      <c r="D50" s="365"/>
      <c r="E50" s="373"/>
      <c r="F50" s="373"/>
      <c r="G50" s="368"/>
      <c r="H50" s="311"/>
      <c r="I50" s="368">
        <v>46232.0</v>
      </c>
      <c r="J50" s="311" t="s">
        <v>700</v>
      </c>
      <c r="K50" s="366"/>
      <c r="L50" s="366"/>
      <c r="M50" s="366"/>
      <c r="N50" s="366"/>
      <c r="O50" s="366"/>
      <c r="P50" s="3"/>
      <c r="Q50" s="3"/>
      <c r="R50" s="3"/>
      <c r="S50" s="3"/>
      <c r="T50" s="3"/>
      <c r="U50" s="3"/>
    </row>
    <row r="51" ht="10.5" customHeight="1">
      <c r="A51" s="365"/>
      <c r="B51" s="365"/>
      <c r="C51" s="365"/>
      <c r="D51" s="365"/>
      <c r="E51" s="373"/>
      <c r="F51" s="373"/>
      <c r="G51" s="373"/>
      <c r="H51" s="373"/>
      <c r="I51" s="368">
        <v>46246.0</v>
      </c>
      <c r="J51" s="311" t="s">
        <v>702</v>
      </c>
      <c r="K51" s="366"/>
      <c r="L51" s="366"/>
      <c r="M51" s="366"/>
      <c r="N51" s="366"/>
      <c r="O51" s="366"/>
      <c r="P51" s="3"/>
      <c r="Q51" s="3"/>
      <c r="R51" s="3"/>
      <c r="S51" s="3"/>
      <c r="T51" s="3"/>
      <c r="U51" s="3"/>
    </row>
    <row r="52" ht="10.5" customHeight="1">
      <c r="A52" s="365"/>
      <c r="B52" s="365"/>
      <c r="C52" s="365"/>
      <c r="D52" s="365"/>
      <c r="E52" s="373"/>
      <c r="F52" s="373"/>
      <c r="G52" s="373"/>
      <c r="H52" s="373"/>
      <c r="I52" s="368">
        <v>46308.0</v>
      </c>
      <c r="J52" s="311" t="s">
        <v>703</v>
      </c>
      <c r="K52" s="366"/>
      <c r="L52" s="366"/>
      <c r="M52" s="366"/>
      <c r="N52" s="366"/>
      <c r="O52" s="366"/>
      <c r="P52" s="3"/>
      <c r="Q52" s="3"/>
      <c r="R52" s="3"/>
      <c r="S52" s="3"/>
      <c r="T52" s="3"/>
      <c r="U52" s="3"/>
    </row>
    <row r="53" ht="10.5" customHeight="1">
      <c r="A53" s="365"/>
      <c r="B53" s="365"/>
      <c r="C53" s="365"/>
      <c r="D53" s="365"/>
      <c r="E53" s="373"/>
      <c r="F53" s="373"/>
      <c r="G53" s="373"/>
      <c r="H53" s="373"/>
      <c r="I53" s="368">
        <v>46318.0</v>
      </c>
      <c r="J53" s="311" t="s">
        <v>691</v>
      </c>
      <c r="K53" s="366"/>
      <c r="L53" s="366"/>
      <c r="M53" s="366"/>
      <c r="N53" s="366"/>
      <c r="O53" s="366"/>
      <c r="P53" s="3"/>
      <c r="Q53" s="3"/>
      <c r="R53" s="3"/>
      <c r="S53" s="3"/>
      <c r="T53" s="3"/>
      <c r="U53" s="3"/>
    </row>
    <row r="54" ht="10.5" customHeight="1">
      <c r="A54" s="365"/>
      <c r="B54" s="365"/>
      <c r="C54" s="365"/>
      <c r="D54" s="365"/>
      <c r="E54" s="373"/>
      <c r="F54" s="373"/>
      <c r="G54" s="373"/>
      <c r="H54" s="373"/>
      <c r="I54" s="368">
        <v>46363.0</v>
      </c>
      <c r="J54" s="311" t="s">
        <v>704</v>
      </c>
      <c r="K54" s="366"/>
      <c r="L54" s="366"/>
      <c r="M54" s="366"/>
      <c r="N54" s="366"/>
      <c r="O54" s="366"/>
      <c r="P54" s="3"/>
      <c r="Q54" s="3"/>
      <c r="R54" s="3"/>
      <c r="S54" s="3"/>
      <c r="T54" s="3"/>
      <c r="U54" s="3"/>
    </row>
    <row r="55" ht="10.5" customHeight="1">
      <c r="A55" s="365"/>
      <c r="B55" s="365"/>
      <c r="C55" s="365"/>
      <c r="D55" s="365"/>
      <c r="E55" s="373"/>
      <c r="F55" s="373"/>
      <c r="G55" s="373"/>
      <c r="H55" s="373"/>
      <c r="I55" s="368">
        <v>46366.0</v>
      </c>
      <c r="J55" s="311" t="s">
        <v>705</v>
      </c>
      <c r="K55" s="366"/>
      <c r="L55" s="366"/>
      <c r="M55" s="366"/>
      <c r="N55" s="366"/>
      <c r="O55" s="366"/>
      <c r="P55" s="3"/>
      <c r="Q55" s="3"/>
      <c r="R55" s="3"/>
      <c r="S55" s="3"/>
      <c r="T55" s="3"/>
      <c r="U55" s="3"/>
    </row>
    <row r="56" ht="10.5" customHeight="1">
      <c r="A56" s="365"/>
      <c r="B56" s="365"/>
      <c r="C56" s="365"/>
      <c r="D56" s="365"/>
      <c r="E56" s="373"/>
      <c r="F56" s="373"/>
      <c r="G56" s="373"/>
      <c r="H56" s="373"/>
      <c r="I56" s="368">
        <v>46387.0</v>
      </c>
      <c r="J56" s="311" t="s">
        <v>694</v>
      </c>
      <c r="K56" s="366"/>
      <c r="L56" s="366"/>
      <c r="M56" s="366"/>
      <c r="N56" s="366"/>
      <c r="O56" s="366"/>
      <c r="P56" s="3"/>
      <c r="Q56" s="3"/>
      <c r="R56" s="3"/>
      <c r="S56" s="3"/>
      <c r="T56" s="3"/>
      <c r="U56" s="3"/>
    </row>
    <row r="57" ht="10.5" customHeight="1">
      <c r="A57" s="365"/>
      <c r="B57" s="365"/>
      <c r="C57" s="365"/>
      <c r="D57" s="365"/>
      <c r="E57" s="373"/>
      <c r="F57" s="373"/>
      <c r="G57" s="373"/>
      <c r="H57" s="373"/>
      <c r="I57" s="368"/>
      <c r="J57" s="311"/>
      <c r="K57" s="366"/>
      <c r="L57" s="366"/>
      <c r="M57" s="366"/>
      <c r="N57" s="366"/>
      <c r="O57" s="366"/>
      <c r="P57" s="3"/>
      <c r="Q57" s="3"/>
      <c r="R57" s="3"/>
      <c r="S57" s="3"/>
      <c r="T57" s="3"/>
      <c r="U57" s="3"/>
    </row>
    <row r="58" ht="10.5" customHeight="1">
      <c r="A58" s="365"/>
      <c r="B58" s="365"/>
      <c r="C58" s="365"/>
      <c r="D58" s="365"/>
      <c r="E58" s="373"/>
      <c r="F58" s="373"/>
      <c r="G58" s="373"/>
      <c r="H58" s="373"/>
      <c r="I58" s="368"/>
      <c r="J58" s="316"/>
      <c r="K58" s="366"/>
      <c r="L58" s="366"/>
      <c r="M58" s="366"/>
      <c r="N58" s="366"/>
      <c r="O58" s="366"/>
      <c r="P58" s="3"/>
      <c r="Q58" s="3"/>
      <c r="R58" s="3"/>
      <c r="S58" s="3"/>
      <c r="T58" s="3"/>
      <c r="U58" s="3"/>
    </row>
    <row r="59" ht="10.5" customHeight="1">
      <c r="A59" s="365"/>
      <c r="B59" s="365"/>
      <c r="C59" s="365"/>
      <c r="D59" s="365"/>
      <c r="E59" s="373"/>
      <c r="F59" s="373"/>
      <c r="G59" s="373"/>
      <c r="H59" s="373"/>
      <c r="I59" s="368"/>
      <c r="J59" s="316"/>
      <c r="K59" s="366"/>
      <c r="L59" s="366"/>
      <c r="M59" s="366"/>
      <c r="N59" s="366"/>
      <c r="O59" s="366"/>
      <c r="P59" s="3"/>
      <c r="Q59" s="3"/>
      <c r="R59" s="3"/>
      <c r="S59" s="3"/>
      <c r="T59" s="3"/>
      <c r="U59" s="3"/>
    </row>
  </sheetData>
  <dataValidations>
    <dataValidation type="list" allowBlank="1" showErrorMessage="1" sqref="Q2:Q59">
      <formula1>'Test Plan'!$A$65:$A$67</formula1>
    </dataValidation>
  </dataValidation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